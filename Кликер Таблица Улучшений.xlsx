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on1kx/Downloads/"/>
    </mc:Choice>
  </mc:AlternateContent>
  <xr:revisionPtr revIDLastSave="0" documentId="13_ncr:1_{E7E5FD8F-B8F9-EC40-9F84-C01F93C6D299}" xr6:coauthVersionLast="47" xr6:coauthVersionMax="47" xr10:uidLastSave="{00000000-0000-0000-0000-000000000000}"/>
  <bookViews>
    <workbookView xWindow="320" yWindow="500" windowWidth="24940" windowHeight="14880" xr2:uid="{8AF5AB6E-9773-684C-8C9E-85B0D6E7A214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9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2" i="1"/>
</calcChain>
</file>

<file path=xl/sharedStrings.xml><?xml version="1.0" encoding="utf-8"?>
<sst xmlns="http://schemas.openxmlformats.org/spreadsheetml/2006/main" count="242" uniqueCount="99">
  <si>
    <t>Сэндвич</t>
  </si>
  <si>
    <t>Название</t>
  </si>
  <si>
    <t>Базовая цена</t>
  </si>
  <si>
    <t>Бонус</t>
  </si>
  <si>
    <t>Тип бонуса</t>
  </si>
  <si>
    <t>Увеличение цены (коэффициент)</t>
  </si>
  <si>
    <t>Уровень доступа</t>
  </si>
  <si>
    <t>mPc</t>
  </si>
  <si>
    <t>Газировка</t>
  </si>
  <si>
    <t>Картошка фри</t>
  </si>
  <si>
    <t>Наггетсы</t>
  </si>
  <si>
    <t>Гамбургер</t>
  </si>
  <si>
    <t xml:space="preserve">Картоф. дольки </t>
  </si>
  <si>
    <t>Хот-дог</t>
  </si>
  <si>
    <t>Чизбургер</t>
  </si>
  <si>
    <t>Милкшейк клубника</t>
  </si>
  <si>
    <t>Тако</t>
  </si>
  <si>
    <t>Панини</t>
  </si>
  <si>
    <t>Вафля</t>
  </si>
  <si>
    <t>Буррито</t>
  </si>
  <si>
    <t>Багет</t>
  </si>
  <si>
    <t>Пончик</t>
  </si>
  <si>
    <t>Мороженое</t>
  </si>
  <si>
    <t>Тирамису</t>
  </si>
  <si>
    <t>Милкшейк ваниль</t>
  </si>
  <si>
    <t>Круассаны</t>
  </si>
  <si>
    <t>Чизкейк</t>
  </si>
  <si>
    <t>Сок</t>
  </si>
  <si>
    <t>Кексы</t>
  </si>
  <si>
    <t>Панкейки</t>
  </si>
  <si>
    <t>Американо</t>
  </si>
  <si>
    <t>Макаруны</t>
  </si>
  <si>
    <t>Капучино</t>
  </si>
  <si>
    <t>Морской салат</t>
  </si>
  <si>
    <t>Чай</t>
  </si>
  <si>
    <t>Омлет</t>
  </si>
  <si>
    <t>Клубничный смузи</t>
  </si>
  <si>
    <t>Пицца</t>
  </si>
  <si>
    <t>Ролл с креветкой</t>
  </si>
  <si>
    <t>Палтус</t>
  </si>
  <si>
    <t>Мохито</t>
  </si>
  <si>
    <t>Спагетти</t>
  </si>
  <si>
    <t>Суфле</t>
  </si>
  <si>
    <t>Вино</t>
  </si>
  <si>
    <t>Рамен</t>
  </si>
  <si>
    <t>Стейк</t>
  </si>
  <si>
    <t>Дракон-ролл</t>
  </si>
  <si>
    <t>Том-Ям</t>
  </si>
  <si>
    <t>Суши-сет</t>
  </si>
  <si>
    <t>Авторское</t>
  </si>
  <si>
    <t>Апероль Спритц</t>
  </si>
  <si>
    <t>Мясная нарезка</t>
  </si>
  <si>
    <t>Френч-сет</t>
  </si>
  <si>
    <t>Рыбный микс</t>
  </si>
  <si>
    <t>Блюдо от шефа</t>
  </si>
  <si>
    <t>Бабл-ти матча</t>
  </si>
  <si>
    <t>Тропический сет</t>
  </si>
  <si>
    <t>Конфи из утки</t>
  </si>
  <si>
    <t>Бургер с трюфелем</t>
  </si>
  <si>
    <t>Бабл-ти анчан</t>
  </si>
  <si>
    <t>Фуа-гра сет</t>
  </si>
  <si>
    <t>Мишлен-фантазия</t>
  </si>
  <si>
    <t>Морская сет</t>
  </si>
  <si>
    <t>Матча латте</t>
  </si>
  <si>
    <t>Супрем-блюдо</t>
  </si>
  <si>
    <t>Десертный сет</t>
  </si>
  <si>
    <t>Панна-котта</t>
  </si>
  <si>
    <t>Новая плита</t>
  </si>
  <si>
    <t>dPc</t>
  </si>
  <si>
    <t>Газовая горелка</t>
  </si>
  <si>
    <t>Доп. касса</t>
  </si>
  <si>
    <t>sPs</t>
  </si>
  <si>
    <t>Проф. духовка</t>
  </si>
  <si>
    <t>dPs</t>
  </si>
  <si>
    <t>Умная касса</t>
  </si>
  <si>
    <t>mPs</t>
  </si>
  <si>
    <t>Современный гриль</t>
  </si>
  <si>
    <t>dM</t>
  </si>
  <si>
    <t>Реклама блюд</t>
  </si>
  <si>
    <t>Качество персонала</t>
  </si>
  <si>
    <t>Быстрый расчет</t>
  </si>
  <si>
    <t>Повышение цен</t>
  </si>
  <si>
    <t>Авто-продажи</t>
  </si>
  <si>
    <t>Экспресс-доставка</t>
  </si>
  <si>
    <t>mM</t>
  </si>
  <si>
    <t>mpM</t>
  </si>
  <si>
    <t>Официант</t>
  </si>
  <si>
    <t>Шеф-повар</t>
  </si>
  <si>
    <t>Фудтрак</t>
  </si>
  <si>
    <t>Маленькое кафе</t>
  </si>
  <si>
    <t>Ресторан</t>
  </si>
  <si>
    <t>Гастро-ресторан</t>
  </si>
  <si>
    <t>SQL</t>
  </si>
  <si>
    <t>Тип улучшения</t>
  </si>
  <si>
    <t>dish</t>
  </si>
  <si>
    <t>equipment</t>
  </si>
  <si>
    <t>global</t>
  </si>
  <si>
    <t>staff</t>
  </si>
  <si>
    <t>point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</si>
</sst>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0" formatCode="0.0"/>
    <numFmt numFmtId="171" formatCode="#,##0.0"/>
  </numFmts>
  <fonts count="4" x14ac:knownFonts="1"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4">
    <xf numFmtId="0" fontId="0" fillId="0" borderId="0" xfId="0"/>
    <xf numFmtId="3" fontId="2" fillId="0" borderId="0" xfId="0" applyNumberFormat="1" applyFont="1" applyAlignment="1">
      <alignment horizontal="left"/>
    </xf>
    <xf numFmtId="171" fontId="2" fillId="0" borderId="0" xfId="0" applyNumberFormat="1" applyFont="1" applyAlignment="1">
      <alignment horizontal="center"/>
    </xf>
    <xf numFmtId="170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71" fontId="2" fillId="2" borderId="4" xfId="0" applyNumberFormat="1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 vertical="center" wrapText="1"/>
    </xf>
    <xf numFmtId="170" fontId="2" fillId="2" borderId="4" xfId="0" applyNumberFormat="1" applyFont="1" applyFill="1" applyBorder="1" applyAlignment="1">
      <alignment horizontal="center"/>
    </xf>
    <xf numFmtId="1" fontId="2" fillId="2" borderId="5" xfId="0" applyNumberFormat="1" applyFont="1" applyFill="1" applyBorder="1" applyAlignment="1">
      <alignment horizontal="center"/>
    </xf>
    <xf numFmtId="0" fontId="1" fillId="2" borderId="8" xfId="0" applyFont="1" applyFill="1" applyBorder="1" applyAlignment="1">
      <alignment vertical="center" wrapText="1"/>
    </xf>
    <xf numFmtId="171" fontId="2" fillId="2" borderId="9" xfId="0" applyNumberFormat="1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 vertical="center" wrapText="1"/>
    </xf>
    <xf numFmtId="170" fontId="2" fillId="2" borderId="9" xfId="0" applyNumberFormat="1" applyFont="1" applyFill="1" applyBorder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0" fontId="1" fillId="3" borderId="3" xfId="0" applyFont="1" applyFill="1" applyBorder="1" applyAlignment="1">
      <alignment vertical="center" wrapText="1"/>
    </xf>
    <xf numFmtId="171" fontId="2" fillId="3" borderId="4" xfId="0" applyNumberFormat="1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 vertical="center" wrapText="1"/>
    </xf>
    <xf numFmtId="170" fontId="2" fillId="3" borderId="4" xfId="0" applyNumberFormat="1" applyFont="1" applyFill="1" applyBorder="1" applyAlignment="1">
      <alignment horizontal="center"/>
    </xf>
    <xf numFmtId="1" fontId="2" fillId="3" borderId="5" xfId="0" applyNumberFormat="1" applyFont="1" applyFill="1" applyBorder="1" applyAlignment="1">
      <alignment horizontal="center"/>
    </xf>
    <xf numFmtId="0" fontId="1" fillId="3" borderId="6" xfId="0" applyFont="1" applyFill="1" applyBorder="1" applyAlignment="1">
      <alignment vertical="center" wrapText="1"/>
    </xf>
    <xf numFmtId="171" fontId="2" fillId="3" borderId="2" xfId="0" applyNumberFormat="1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 vertical="center" wrapText="1"/>
    </xf>
    <xf numFmtId="170" fontId="2" fillId="3" borderId="2" xfId="0" applyNumberFormat="1" applyFont="1" applyFill="1" applyBorder="1" applyAlignment="1">
      <alignment horizontal="center"/>
    </xf>
    <xf numFmtId="1" fontId="2" fillId="3" borderId="7" xfId="0" applyNumberFormat="1" applyFont="1" applyFill="1" applyBorder="1" applyAlignment="1">
      <alignment horizontal="center"/>
    </xf>
    <xf numFmtId="0" fontId="1" fillId="3" borderId="8" xfId="0" applyFont="1" applyFill="1" applyBorder="1" applyAlignment="1">
      <alignment vertical="center" wrapText="1"/>
    </xf>
    <xf numFmtId="171" fontId="2" fillId="3" borderId="9" xfId="0" applyNumberFormat="1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 wrapText="1"/>
    </xf>
    <xf numFmtId="170" fontId="2" fillId="3" borderId="9" xfId="0" applyNumberFormat="1" applyFont="1" applyFill="1" applyBorder="1" applyAlignment="1">
      <alignment horizontal="center"/>
    </xf>
    <xf numFmtId="1" fontId="2" fillId="3" borderId="10" xfId="0" applyNumberFormat="1" applyFont="1" applyFill="1" applyBorder="1" applyAlignment="1">
      <alignment horizontal="center"/>
    </xf>
    <xf numFmtId="0" fontId="1" fillId="2" borderId="3" xfId="0" applyFont="1" applyFill="1" applyBorder="1"/>
    <xf numFmtId="3" fontId="2" fillId="2" borderId="4" xfId="0" applyNumberFormat="1" applyFont="1" applyFill="1" applyBorder="1" applyAlignment="1">
      <alignment horizontal="left"/>
    </xf>
    <xf numFmtId="3" fontId="2" fillId="2" borderId="9" xfId="0" applyNumberFormat="1" applyFont="1" applyFill="1" applyBorder="1" applyAlignment="1">
      <alignment horizontal="left"/>
    </xf>
    <xf numFmtId="0" fontId="1" fillId="4" borderId="3" xfId="0" applyFont="1" applyFill="1" applyBorder="1" applyAlignment="1">
      <alignment vertical="center" wrapText="1"/>
    </xf>
    <xf numFmtId="3" fontId="2" fillId="4" borderId="4" xfId="0" applyNumberFormat="1" applyFont="1" applyFill="1" applyBorder="1" applyAlignment="1">
      <alignment horizontal="left" vertical="center" wrapText="1"/>
    </xf>
    <xf numFmtId="171" fontId="2" fillId="4" borderId="4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 vertical="center" wrapText="1"/>
    </xf>
    <xf numFmtId="170" fontId="2" fillId="4" borderId="4" xfId="0" applyNumberFormat="1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vertical="center" wrapText="1"/>
    </xf>
    <xf numFmtId="3" fontId="2" fillId="4" borderId="2" xfId="0" applyNumberFormat="1" applyFont="1" applyFill="1" applyBorder="1" applyAlignment="1">
      <alignment horizontal="left" vertical="center" wrapText="1"/>
    </xf>
    <xf numFmtId="171" fontId="2" fillId="4" borderId="2" xfId="0" applyNumberFormat="1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170" fontId="2" fillId="4" borderId="2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vertical="center" wrapText="1"/>
    </xf>
    <xf numFmtId="171" fontId="2" fillId="4" borderId="9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 vertical="center" wrapText="1"/>
    </xf>
    <xf numFmtId="170" fontId="2" fillId="4" borderId="9" xfId="0" applyNumberFormat="1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 vertical="center" wrapText="1"/>
    </xf>
    <xf numFmtId="49" fontId="1" fillId="5" borderId="3" xfId="0" applyNumberFormat="1" applyFont="1" applyFill="1" applyBorder="1" applyAlignment="1">
      <alignment vertical="center" wrapText="1"/>
    </xf>
    <xf numFmtId="3" fontId="2" fillId="5" borderId="4" xfId="0" applyNumberFormat="1" applyFont="1" applyFill="1" applyBorder="1" applyAlignment="1">
      <alignment horizontal="left" vertical="center" wrapText="1"/>
    </xf>
    <xf numFmtId="171" fontId="2" fillId="5" borderId="4" xfId="0" applyNumberFormat="1" applyFont="1" applyFill="1" applyBorder="1" applyAlignment="1">
      <alignment horizontal="center" vertical="center" wrapText="1"/>
    </xf>
    <xf numFmtId="49" fontId="2" fillId="5" borderId="4" xfId="0" applyNumberFormat="1" applyFont="1" applyFill="1" applyBorder="1" applyAlignment="1">
      <alignment horizontal="center" vertical="center" wrapText="1"/>
    </xf>
    <xf numFmtId="170" fontId="2" fillId="5" borderId="4" xfId="0" applyNumberFormat="1" applyFont="1" applyFill="1" applyBorder="1" applyAlignment="1">
      <alignment horizontal="center" vertical="center" wrapText="1"/>
    </xf>
    <xf numFmtId="1" fontId="2" fillId="5" borderId="5" xfId="0" applyNumberFormat="1" applyFont="1" applyFill="1" applyBorder="1" applyAlignment="1">
      <alignment horizontal="center" vertical="center" wrapText="1"/>
    </xf>
    <xf numFmtId="49" fontId="1" fillId="5" borderId="6" xfId="0" applyNumberFormat="1" applyFont="1" applyFill="1" applyBorder="1" applyAlignment="1">
      <alignment vertical="center" wrapText="1"/>
    </xf>
    <xf numFmtId="3" fontId="2" fillId="5" borderId="2" xfId="0" applyNumberFormat="1" applyFont="1" applyFill="1" applyBorder="1" applyAlignment="1">
      <alignment horizontal="left" vertical="center" wrapText="1"/>
    </xf>
    <xf numFmtId="171" fontId="2" fillId="5" borderId="2" xfId="0" applyNumberFormat="1" applyFont="1" applyFill="1" applyBorder="1" applyAlignment="1">
      <alignment horizontal="center" vertical="center" wrapText="1"/>
    </xf>
    <xf numFmtId="49" fontId="2" fillId="5" borderId="2" xfId="0" applyNumberFormat="1" applyFont="1" applyFill="1" applyBorder="1" applyAlignment="1">
      <alignment horizontal="center" vertical="center" wrapText="1"/>
    </xf>
    <xf numFmtId="170" fontId="2" fillId="5" borderId="2" xfId="0" applyNumberFormat="1" applyFont="1" applyFill="1" applyBorder="1" applyAlignment="1">
      <alignment horizontal="center" vertical="center" wrapText="1"/>
    </xf>
    <xf numFmtId="1" fontId="2" fillId="5" borderId="7" xfId="0" applyNumberFormat="1" applyFont="1" applyFill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vertical="center" wrapText="1"/>
    </xf>
    <xf numFmtId="3" fontId="2" fillId="5" borderId="9" xfId="0" applyNumberFormat="1" applyFont="1" applyFill="1" applyBorder="1" applyAlignment="1">
      <alignment horizontal="left" vertical="center" wrapText="1"/>
    </xf>
    <xf numFmtId="171" fontId="2" fillId="5" borderId="9" xfId="0" applyNumberFormat="1" applyFont="1" applyFill="1" applyBorder="1" applyAlignment="1">
      <alignment horizontal="center" vertical="center" wrapText="1"/>
    </xf>
    <xf numFmtId="49" fontId="2" fillId="5" borderId="9" xfId="0" applyNumberFormat="1" applyFont="1" applyFill="1" applyBorder="1" applyAlignment="1">
      <alignment horizontal="center" vertical="center" wrapText="1"/>
    </xf>
    <xf numFmtId="170" fontId="2" fillId="5" borderId="9" xfId="0" applyNumberFormat="1" applyFont="1" applyFill="1" applyBorder="1" applyAlignment="1">
      <alignment horizontal="center" vertical="center" wrapText="1"/>
    </xf>
    <xf numFmtId="1" fontId="2" fillId="5" borderId="10" xfId="0" applyNumberFormat="1" applyFont="1" applyFill="1" applyBorder="1" applyAlignment="1">
      <alignment horizontal="center" vertical="center" wrapText="1"/>
    </xf>
    <xf numFmtId="171" fontId="2" fillId="6" borderId="4" xfId="0" applyNumberFormat="1" applyFont="1" applyFill="1" applyBorder="1" applyAlignment="1">
      <alignment horizontal="center" vertical="center" wrapText="1"/>
    </xf>
    <xf numFmtId="49" fontId="2" fillId="6" borderId="4" xfId="0" applyNumberFormat="1" applyFont="1" applyFill="1" applyBorder="1" applyAlignment="1">
      <alignment horizontal="center" vertical="center" wrapText="1"/>
    </xf>
    <xf numFmtId="170" fontId="2" fillId="6" borderId="4" xfId="0" applyNumberFormat="1" applyFont="1" applyFill="1" applyBorder="1" applyAlignment="1">
      <alignment horizontal="center" vertical="center" wrapText="1"/>
    </xf>
    <xf numFmtId="1" fontId="2" fillId="6" borderId="5" xfId="0" applyNumberFormat="1" applyFont="1" applyFill="1" applyBorder="1" applyAlignment="1">
      <alignment horizontal="center" vertical="center" wrapText="1"/>
    </xf>
    <xf numFmtId="171" fontId="2" fillId="6" borderId="2" xfId="0" applyNumberFormat="1" applyFont="1" applyFill="1" applyBorder="1" applyAlignment="1">
      <alignment horizontal="center" vertical="center" wrapText="1"/>
    </xf>
    <xf numFmtId="49" fontId="2" fillId="6" borderId="2" xfId="0" applyNumberFormat="1" applyFont="1" applyFill="1" applyBorder="1" applyAlignment="1">
      <alignment horizontal="center" vertical="center" wrapText="1"/>
    </xf>
    <xf numFmtId="170" fontId="2" fillId="6" borderId="2" xfId="0" applyNumberFormat="1" applyFont="1" applyFill="1" applyBorder="1" applyAlignment="1">
      <alignment horizontal="center" vertical="center" wrapText="1"/>
    </xf>
    <xf numFmtId="1" fontId="2" fillId="6" borderId="7" xfId="0" applyNumberFormat="1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vertical="center" wrapText="1"/>
    </xf>
    <xf numFmtId="3" fontId="2" fillId="6" borderId="9" xfId="0" applyNumberFormat="1" applyFont="1" applyFill="1" applyBorder="1" applyAlignment="1">
      <alignment horizontal="left" vertical="center" wrapText="1"/>
    </xf>
    <xf numFmtId="171" fontId="2" fillId="6" borderId="9" xfId="0" applyNumberFormat="1" applyFont="1" applyFill="1" applyBorder="1" applyAlignment="1">
      <alignment horizontal="center" vertical="center" wrapText="1"/>
    </xf>
    <xf numFmtId="49" fontId="2" fillId="6" borderId="9" xfId="0" applyNumberFormat="1" applyFont="1" applyFill="1" applyBorder="1" applyAlignment="1">
      <alignment horizontal="center" vertical="center" wrapText="1"/>
    </xf>
    <xf numFmtId="170" fontId="2" fillId="6" borderId="9" xfId="0" applyNumberFormat="1" applyFont="1" applyFill="1" applyBorder="1" applyAlignment="1">
      <alignment horizontal="center" vertical="center" wrapText="1"/>
    </xf>
    <xf numFmtId="1" fontId="2" fillId="6" borderId="10" xfId="0" applyNumberFormat="1" applyFont="1" applyFill="1" applyBorder="1" applyAlignment="1">
      <alignment horizontal="center" vertical="center" wrapText="1"/>
    </xf>
    <xf numFmtId="3" fontId="2" fillId="4" borderId="9" xfId="0" applyNumberFormat="1" applyFont="1" applyFill="1" applyBorder="1" applyAlignment="1">
      <alignment horizontal="left" vertical="center" wrapText="1"/>
    </xf>
    <xf numFmtId="3" fontId="2" fillId="3" borderId="4" xfId="0" applyNumberFormat="1" applyFont="1" applyFill="1" applyBorder="1" applyAlignment="1">
      <alignment horizontal="left" vertical="center"/>
    </xf>
    <xf numFmtId="3" fontId="2" fillId="3" borderId="2" xfId="0" applyNumberFormat="1" applyFont="1" applyFill="1" applyBorder="1" applyAlignment="1">
      <alignment horizontal="left" vertical="center"/>
    </xf>
    <xf numFmtId="3" fontId="2" fillId="3" borderId="9" xfId="0" applyNumberFormat="1" applyFont="1" applyFill="1" applyBorder="1" applyAlignment="1">
      <alignment horizontal="left" vertical="center"/>
    </xf>
    <xf numFmtId="0" fontId="1" fillId="0" borderId="11" xfId="0" applyNumberFormat="1" applyFont="1" applyBorder="1" applyAlignment="1">
      <alignment horizontal="center" vertical="center" wrapText="1"/>
    </xf>
    <xf numFmtId="0" fontId="1" fillId="0" borderId="12" xfId="0" applyNumberFormat="1" applyFont="1" applyBorder="1" applyAlignment="1">
      <alignment horizontal="center" vertical="center" wrapText="1"/>
    </xf>
    <xf numFmtId="0" fontId="1" fillId="0" borderId="13" xfId="0" applyNumberFormat="1" applyFont="1" applyBorder="1" applyAlignment="1">
      <alignment horizontal="center" vertical="center" wrapText="1"/>
    </xf>
    <xf numFmtId="49" fontId="1" fillId="6" borderId="17" xfId="0" applyNumberFormat="1" applyFont="1" applyFill="1" applyBorder="1" applyAlignment="1">
      <alignment vertical="center" wrapText="1"/>
    </xf>
    <xf numFmtId="49" fontId="1" fillId="6" borderId="18" xfId="0" applyNumberFormat="1" applyFont="1" applyFill="1" applyBorder="1" applyAlignment="1">
      <alignment vertical="center" wrapText="1"/>
    </xf>
    <xf numFmtId="3" fontId="2" fillId="6" borderId="14" xfId="0" applyNumberFormat="1" applyFont="1" applyFill="1" applyBorder="1" applyAlignment="1">
      <alignment horizontal="left" vertical="center" wrapText="1"/>
    </xf>
    <xf numFmtId="3" fontId="2" fillId="6" borderId="15" xfId="0" applyNumberFormat="1" applyFont="1" applyFill="1" applyBorder="1" applyAlignment="1">
      <alignment horizontal="left" vertical="center" wrapText="1"/>
    </xf>
    <xf numFmtId="49" fontId="2" fillId="6" borderId="19" xfId="0" applyNumberFormat="1" applyFont="1" applyFill="1" applyBorder="1" applyAlignment="1">
      <alignment vertical="center" wrapText="1"/>
    </xf>
    <xf numFmtId="49" fontId="2" fillId="6" borderId="2" xfId="0" applyNumberFormat="1" applyFont="1" applyFill="1" applyBorder="1" applyAlignment="1">
      <alignment vertical="center" wrapText="1"/>
    </xf>
    <xf numFmtId="0" fontId="1" fillId="0" borderId="20" xfId="0" applyNumberFormat="1" applyFont="1" applyBorder="1" applyAlignment="1">
      <alignment horizontal="center" vertical="center" wrapText="1"/>
    </xf>
    <xf numFmtId="49" fontId="2" fillId="6" borderId="21" xfId="0" applyNumberFormat="1" applyFont="1" applyFill="1" applyBorder="1" applyAlignment="1">
      <alignment vertical="center" wrapText="1"/>
    </xf>
    <xf numFmtId="0" fontId="1" fillId="0" borderId="1" xfId="0" applyNumberFormat="1" applyFont="1" applyBorder="1" applyAlignment="1">
      <alignment horizontal="center" vertical="center" wrapText="1"/>
    </xf>
    <xf numFmtId="49" fontId="2" fillId="5" borderId="14" xfId="0" applyNumberFormat="1" applyFont="1" applyFill="1" applyBorder="1" applyAlignment="1">
      <alignment vertical="center" wrapText="1"/>
    </xf>
    <xf numFmtId="49" fontId="2" fillId="5" borderId="15" xfId="0" applyNumberFormat="1" applyFont="1" applyFill="1" applyBorder="1" applyAlignment="1">
      <alignment vertical="center" wrapText="1"/>
    </xf>
    <xf numFmtId="0" fontId="2" fillId="4" borderId="14" xfId="0" applyFont="1" applyFill="1" applyBorder="1" applyAlignment="1">
      <alignment vertical="center" wrapText="1"/>
    </xf>
    <xf numFmtId="0" fontId="2" fillId="4" borderId="15" xfId="0" applyFont="1" applyFill="1" applyBorder="1" applyAlignment="1">
      <alignment vertical="center" wrapText="1"/>
    </xf>
    <xf numFmtId="0" fontId="2" fillId="2" borderId="14" xfId="0" applyFont="1" applyFill="1" applyBorder="1"/>
    <xf numFmtId="0" fontId="2" fillId="2" borderId="16" xfId="0" applyFont="1" applyFill="1" applyBorder="1" applyAlignment="1">
      <alignment vertical="center" wrapText="1"/>
    </xf>
    <xf numFmtId="0" fontId="2" fillId="3" borderId="14" xfId="0" applyFont="1" applyFill="1" applyBorder="1" applyAlignment="1">
      <alignment vertical="center" wrapText="1"/>
    </xf>
    <xf numFmtId="0" fontId="2" fillId="3" borderId="15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vertical="center" wrapText="1"/>
    </xf>
    <xf numFmtId="0" fontId="3" fillId="0" borderId="22" xfId="0" applyFont="1" applyBorder="1" applyAlignment="1">
      <alignment horizontal="center" vertical="center" shrinkToFit="1"/>
    </xf>
    <xf numFmtId="0" fontId="0" fillId="0" borderId="23" xfId="0" applyBorder="1" applyAlignment="1">
      <alignment shrinkToFit="1"/>
    </xf>
    <xf numFmtId="0" fontId="0" fillId="0" borderId="24" xfId="0" applyBorder="1" applyAlignment="1">
      <alignment shrinkToFit="1"/>
    </xf>
    <xf numFmtId="0" fontId="0" fillId="0" borderId="0" xfId="0" applyBorder="1" applyAlignment="1">
      <alignment shrinkToFit="1"/>
    </xf>
    <xf numFmtId="0" fontId="0" fillId="0" borderId="25" xfId="0" applyBorder="1" applyAlignment="1">
      <alignment shrinkToFit="1"/>
    </xf>
    <xf numFmtId="0" fontId="0" fillId="0" borderId="26" xfId="0" applyBorder="1" applyAlignment="1">
      <alignment shrinkToFit="1"/>
    </xf>
    <xf numFmtId="0" fontId="0" fillId="0" borderId="1" xfId="0" applyBorder="1" applyAlignment="1">
      <alignment shrinkToFi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20FD3-94E8-A340-80E4-BB04100A4652}">
  <dimension ref="A1:I79"/>
  <sheetViews>
    <sheetView tabSelected="1" topLeftCell="A52" workbookViewId="0">
      <selection activeCell="L67" sqref="L67"/>
    </sheetView>
  </sheetViews>
  <sheetFormatPr baseColWidth="10" defaultRowHeight="16" x14ac:dyDescent="0.2"/>
  <cols>
    <col min="1" max="2" width="20.5" customWidth="1"/>
    <col min="3" max="3" width="16.33203125" style="1" bestFit="1" customWidth="1"/>
    <col min="4" max="4" width="8.1640625" style="2" bestFit="1" customWidth="1"/>
    <col min="5" max="5" width="7.1640625" style="5" bestFit="1" customWidth="1"/>
    <col min="6" max="6" width="15.33203125" style="3" customWidth="1"/>
    <col min="7" max="7" width="9.6640625" style="4" bestFit="1" customWidth="1"/>
    <col min="9" max="9" width="50.1640625" style="110" bestFit="1" customWidth="1"/>
  </cols>
  <sheetData>
    <row r="1" spans="1:9" ht="52" thickBot="1" x14ac:dyDescent="0.25">
      <c r="A1" s="95" t="s">
        <v>1</v>
      </c>
      <c r="B1" s="97" t="s">
        <v>93</v>
      </c>
      <c r="C1" s="88" t="s">
        <v>2</v>
      </c>
      <c r="D1" s="86" t="s">
        <v>3</v>
      </c>
      <c r="E1" s="86" t="s">
        <v>4</v>
      </c>
      <c r="F1" s="86" t="s">
        <v>5</v>
      </c>
      <c r="G1" s="87" t="s">
        <v>6</v>
      </c>
      <c r="I1" s="107" t="s">
        <v>92</v>
      </c>
    </row>
    <row r="2" spans="1:9" ht="17" x14ac:dyDescent="0.2">
      <c r="A2" s="89" t="s">
        <v>0</v>
      </c>
      <c r="B2" s="96" t="s">
        <v>94</v>
      </c>
      <c r="C2" s="91">
        <v>0</v>
      </c>
      <c r="D2" s="68">
        <v>1</v>
      </c>
      <c r="E2" s="69" t="s">
        <v>7</v>
      </c>
      <c r="F2" s="70">
        <v>1</v>
      </c>
      <c r="G2" s="71">
        <v>0</v>
      </c>
      <c r="I2" s="108" t="str">
        <f>"('" &amp; A2 &amp; "','" &amp; B2 &amp; "'," &amp; C2 &amp; "," &amp; D2 &amp; ",'" &amp; E2 &amp; "'," &amp; F2 &amp; "," &amp; G2 &amp; "),"</f>
        <v>('Сэндвич','dish',0,1,'mPc',1,0),</v>
      </c>
    </row>
    <row r="3" spans="1:9" ht="17" x14ac:dyDescent="0.2">
      <c r="A3" s="90" t="s">
        <v>8</v>
      </c>
      <c r="B3" s="94" t="s">
        <v>94</v>
      </c>
      <c r="C3" s="92">
        <v>25</v>
      </c>
      <c r="D3" s="72">
        <v>1</v>
      </c>
      <c r="E3" s="73" t="s">
        <v>7</v>
      </c>
      <c r="F3" s="74">
        <v>1</v>
      </c>
      <c r="G3" s="75">
        <v>0</v>
      </c>
      <c r="I3" s="108" t="str">
        <f t="shared" ref="I3:I66" si="0">"('" &amp; A3 &amp; "','" &amp; B3 &amp; "'," &amp; C3 &amp; "," &amp; D3 &amp; ",'" &amp; E3 &amp; "'," &amp; F3 &amp; "," &amp; G3 &amp; "),"</f>
        <v>('Газировка','dish',25,1,'mPc',1,0),</v>
      </c>
    </row>
    <row r="4" spans="1:9" ht="17" x14ac:dyDescent="0.2">
      <c r="A4" s="90" t="s">
        <v>9</v>
      </c>
      <c r="B4" s="94" t="s">
        <v>94</v>
      </c>
      <c r="C4" s="92">
        <v>40</v>
      </c>
      <c r="D4" s="72">
        <v>1</v>
      </c>
      <c r="E4" s="73" t="s">
        <v>7</v>
      </c>
      <c r="F4" s="74">
        <v>1</v>
      </c>
      <c r="G4" s="75">
        <v>0</v>
      </c>
      <c r="I4" s="108" t="str">
        <f t="shared" si="0"/>
        <v>('Картошка фри','dish',40,1,'mPc',1,0),</v>
      </c>
    </row>
    <row r="5" spans="1:9" ht="17" x14ac:dyDescent="0.2">
      <c r="A5" s="90" t="s">
        <v>10</v>
      </c>
      <c r="B5" s="94" t="s">
        <v>94</v>
      </c>
      <c r="C5" s="92">
        <v>60</v>
      </c>
      <c r="D5" s="72">
        <v>1</v>
      </c>
      <c r="E5" s="73" t="s">
        <v>7</v>
      </c>
      <c r="F5" s="74">
        <v>1</v>
      </c>
      <c r="G5" s="75">
        <v>1</v>
      </c>
      <c r="I5" s="108" t="str">
        <f t="shared" si="0"/>
        <v>('Наггетсы','dish',60,1,'mPc',1,1),</v>
      </c>
    </row>
    <row r="6" spans="1:9" ht="17" x14ac:dyDescent="0.2">
      <c r="A6" s="90" t="s">
        <v>11</v>
      </c>
      <c r="B6" s="94" t="s">
        <v>94</v>
      </c>
      <c r="C6" s="92">
        <v>90</v>
      </c>
      <c r="D6" s="72">
        <v>1</v>
      </c>
      <c r="E6" s="73" t="s">
        <v>7</v>
      </c>
      <c r="F6" s="74">
        <v>1</v>
      </c>
      <c r="G6" s="75">
        <v>1</v>
      </c>
      <c r="I6" s="108" t="str">
        <f t="shared" si="0"/>
        <v>('Гамбургер','dish',90,1,'mPc',1,1),</v>
      </c>
    </row>
    <row r="7" spans="1:9" ht="17" x14ac:dyDescent="0.2">
      <c r="A7" s="90" t="s">
        <v>12</v>
      </c>
      <c r="B7" s="94" t="s">
        <v>94</v>
      </c>
      <c r="C7" s="92">
        <v>130</v>
      </c>
      <c r="D7" s="72">
        <v>1</v>
      </c>
      <c r="E7" s="73" t="s">
        <v>7</v>
      </c>
      <c r="F7" s="74">
        <v>1</v>
      </c>
      <c r="G7" s="75">
        <v>1</v>
      </c>
      <c r="I7" s="108" t="str">
        <f t="shared" si="0"/>
        <v>('Картоф. дольки ','dish',130,1,'mPc',1,1),</v>
      </c>
    </row>
    <row r="8" spans="1:9" ht="17" x14ac:dyDescent="0.2">
      <c r="A8" s="90" t="s">
        <v>13</v>
      </c>
      <c r="B8" s="94" t="s">
        <v>94</v>
      </c>
      <c r="C8" s="92">
        <v>200</v>
      </c>
      <c r="D8" s="72">
        <v>1</v>
      </c>
      <c r="E8" s="73" t="s">
        <v>7</v>
      </c>
      <c r="F8" s="74">
        <v>1</v>
      </c>
      <c r="G8" s="75">
        <v>2</v>
      </c>
      <c r="I8" s="108" t="str">
        <f t="shared" si="0"/>
        <v>('Хот-дог','dish',200,1,'mPc',1,2),</v>
      </c>
    </row>
    <row r="9" spans="1:9" ht="17" x14ac:dyDescent="0.2">
      <c r="A9" s="90" t="s">
        <v>14</v>
      </c>
      <c r="B9" s="94" t="s">
        <v>94</v>
      </c>
      <c r="C9" s="92">
        <v>320</v>
      </c>
      <c r="D9" s="72">
        <v>1</v>
      </c>
      <c r="E9" s="73" t="s">
        <v>7</v>
      </c>
      <c r="F9" s="74">
        <v>1</v>
      </c>
      <c r="G9" s="75">
        <v>3</v>
      </c>
      <c r="I9" s="108" t="str">
        <f t="shared" si="0"/>
        <v>('Чизбургер','dish',320,1,'mPc',1,3),</v>
      </c>
    </row>
    <row r="10" spans="1:9" ht="17" x14ac:dyDescent="0.2">
      <c r="A10" s="90" t="s">
        <v>15</v>
      </c>
      <c r="B10" s="94" t="s">
        <v>94</v>
      </c>
      <c r="C10" s="92">
        <v>500</v>
      </c>
      <c r="D10" s="72">
        <v>1</v>
      </c>
      <c r="E10" s="73" t="s">
        <v>7</v>
      </c>
      <c r="F10" s="74">
        <v>1</v>
      </c>
      <c r="G10" s="75">
        <v>4</v>
      </c>
      <c r="I10" s="108" t="str">
        <f t="shared" si="0"/>
        <v>('Милкшейк клубника','dish',500,1,'mPc',1,4),</v>
      </c>
    </row>
    <row r="11" spans="1:9" ht="17" x14ac:dyDescent="0.2">
      <c r="A11" s="90" t="s">
        <v>16</v>
      </c>
      <c r="B11" s="94" t="s">
        <v>94</v>
      </c>
      <c r="C11" s="92">
        <v>800</v>
      </c>
      <c r="D11" s="72">
        <v>1</v>
      </c>
      <c r="E11" s="73" t="s">
        <v>7</v>
      </c>
      <c r="F11" s="74">
        <v>1</v>
      </c>
      <c r="G11" s="75">
        <v>5</v>
      </c>
      <c r="I11" s="108" t="str">
        <f t="shared" si="0"/>
        <v>('Тако','dish',800,1,'mPc',1,5),</v>
      </c>
    </row>
    <row r="12" spans="1:9" ht="17" x14ac:dyDescent="0.2">
      <c r="A12" s="90" t="s">
        <v>17</v>
      </c>
      <c r="B12" s="94" t="s">
        <v>94</v>
      </c>
      <c r="C12" s="92">
        <v>1200</v>
      </c>
      <c r="D12" s="72">
        <v>1</v>
      </c>
      <c r="E12" s="73" t="s">
        <v>7</v>
      </c>
      <c r="F12" s="74">
        <v>1</v>
      </c>
      <c r="G12" s="75">
        <v>5</v>
      </c>
      <c r="I12" s="108" t="str">
        <f t="shared" si="0"/>
        <v>('Панини','dish',1200,1,'mPc',1,5),</v>
      </c>
    </row>
    <row r="13" spans="1:9" ht="17" x14ac:dyDescent="0.2">
      <c r="A13" s="90" t="s">
        <v>18</v>
      </c>
      <c r="B13" s="94" t="s">
        <v>94</v>
      </c>
      <c r="C13" s="92">
        <v>1800</v>
      </c>
      <c r="D13" s="72">
        <v>2</v>
      </c>
      <c r="E13" s="73" t="s">
        <v>7</v>
      </c>
      <c r="F13" s="74">
        <v>1</v>
      </c>
      <c r="G13" s="75">
        <v>5</v>
      </c>
      <c r="I13" s="108" t="str">
        <f t="shared" si="0"/>
        <v>('Вафля','dish',1800,2,'mPc',1,5),</v>
      </c>
    </row>
    <row r="14" spans="1:9" ht="17" x14ac:dyDescent="0.2">
      <c r="A14" s="90" t="s">
        <v>19</v>
      </c>
      <c r="B14" s="94" t="s">
        <v>94</v>
      </c>
      <c r="C14" s="92">
        <v>2600</v>
      </c>
      <c r="D14" s="72">
        <v>2</v>
      </c>
      <c r="E14" s="73" t="s">
        <v>7</v>
      </c>
      <c r="F14" s="74">
        <v>1</v>
      </c>
      <c r="G14" s="75">
        <v>6</v>
      </c>
      <c r="I14" s="108" t="str">
        <f t="shared" si="0"/>
        <v>('Буррито','dish',2600,2,'mPc',1,6),</v>
      </c>
    </row>
    <row r="15" spans="1:9" ht="17" x14ac:dyDescent="0.2">
      <c r="A15" s="90" t="s">
        <v>20</v>
      </c>
      <c r="B15" s="94" t="s">
        <v>94</v>
      </c>
      <c r="C15" s="92">
        <v>3800</v>
      </c>
      <c r="D15" s="72">
        <v>2</v>
      </c>
      <c r="E15" s="73" t="s">
        <v>7</v>
      </c>
      <c r="F15" s="74">
        <v>1</v>
      </c>
      <c r="G15" s="75">
        <v>7</v>
      </c>
      <c r="I15" s="108" t="str">
        <f t="shared" si="0"/>
        <v>('Багет','dish',3800,2,'mPc',1,7),</v>
      </c>
    </row>
    <row r="16" spans="1:9" ht="17" x14ac:dyDescent="0.2">
      <c r="A16" s="90" t="s">
        <v>21</v>
      </c>
      <c r="B16" s="94" t="s">
        <v>94</v>
      </c>
      <c r="C16" s="92">
        <v>5500</v>
      </c>
      <c r="D16" s="72">
        <v>3</v>
      </c>
      <c r="E16" s="73" t="s">
        <v>7</v>
      </c>
      <c r="F16" s="74">
        <v>1</v>
      </c>
      <c r="G16" s="75">
        <v>8</v>
      </c>
      <c r="I16" s="108" t="str">
        <f t="shared" si="0"/>
        <v>('Пончик','dish',5500,3,'mPc',1,8),</v>
      </c>
    </row>
    <row r="17" spans="1:9" ht="17" x14ac:dyDescent="0.2">
      <c r="A17" s="90" t="s">
        <v>22</v>
      </c>
      <c r="B17" s="94" t="s">
        <v>94</v>
      </c>
      <c r="C17" s="92">
        <v>8000</v>
      </c>
      <c r="D17" s="72">
        <v>3</v>
      </c>
      <c r="E17" s="73" t="s">
        <v>7</v>
      </c>
      <c r="F17" s="74">
        <v>1</v>
      </c>
      <c r="G17" s="75">
        <v>9</v>
      </c>
      <c r="I17" s="108" t="str">
        <f t="shared" si="0"/>
        <v>('Мороженое','dish',8000,3,'mPc',1,9),</v>
      </c>
    </row>
    <row r="18" spans="1:9" ht="17" x14ac:dyDescent="0.2">
      <c r="A18" s="90" t="s">
        <v>23</v>
      </c>
      <c r="B18" s="94" t="s">
        <v>94</v>
      </c>
      <c r="C18" s="92">
        <v>12000</v>
      </c>
      <c r="D18" s="72">
        <v>4</v>
      </c>
      <c r="E18" s="73" t="s">
        <v>7</v>
      </c>
      <c r="F18" s="74">
        <v>1</v>
      </c>
      <c r="G18" s="75">
        <v>10</v>
      </c>
      <c r="I18" s="108" t="str">
        <f t="shared" si="0"/>
        <v>('Тирамису','dish',12000,4,'mPc',1,10),</v>
      </c>
    </row>
    <row r="19" spans="1:9" ht="17" x14ac:dyDescent="0.2">
      <c r="A19" s="90" t="s">
        <v>24</v>
      </c>
      <c r="B19" s="94" t="s">
        <v>94</v>
      </c>
      <c r="C19" s="92">
        <v>18000</v>
      </c>
      <c r="D19" s="72">
        <v>4</v>
      </c>
      <c r="E19" s="73" t="s">
        <v>7</v>
      </c>
      <c r="F19" s="74">
        <v>1</v>
      </c>
      <c r="G19" s="75">
        <v>10</v>
      </c>
      <c r="I19" s="108" t="str">
        <f t="shared" si="0"/>
        <v>('Милкшейк ваниль','dish',18000,4,'mPc',1,10),</v>
      </c>
    </row>
    <row r="20" spans="1:9" ht="17" x14ac:dyDescent="0.2">
      <c r="A20" s="90" t="s">
        <v>25</v>
      </c>
      <c r="B20" s="94" t="s">
        <v>94</v>
      </c>
      <c r="C20" s="92">
        <v>26000</v>
      </c>
      <c r="D20" s="72">
        <v>5</v>
      </c>
      <c r="E20" s="73" t="s">
        <v>7</v>
      </c>
      <c r="F20" s="74">
        <v>1</v>
      </c>
      <c r="G20" s="75">
        <v>10</v>
      </c>
      <c r="I20" s="108" t="str">
        <f t="shared" si="0"/>
        <v>('Круассаны','dish',26000,5,'mPc',1,10),</v>
      </c>
    </row>
    <row r="21" spans="1:9" ht="17" x14ac:dyDescent="0.2">
      <c r="A21" s="90" t="s">
        <v>26</v>
      </c>
      <c r="B21" s="94" t="s">
        <v>94</v>
      </c>
      <c r="C21" s="92">
        <v>38000</v>
      </c>
      <c r="D21" s="72">
        <v>6</v>
      </c>
      <c r="E21" s="73" t="s">
        <v>7</v>
      </c>
      <c r="F21" s="74">
        <v>1</v>
      </c>
      <c r="G21" s="75">
        <v>11</v>
      </c>
      <c r="I21" s="108" t="str">
        <f t="shared" si="0"/>
        <v>('Чизкейк','dish',38000,6,'mPc',1,11),</v>
      </c>
    </row>
    <row r="22" spans="1:9" ht="17" x14ac:dyDescent="0.2">
      <c r="A22" s="90" t="s">
        <v>27</v>
      </c>
      <c r="B22" s="94" t="s">
        <v>94</v>
      </c>
      <c r="C22" s="92">
        <v>55000</v>
      </c>
      <c r="D22" s="72">
        <v>7</v>
      </c>
      <c r="E22" s="73" t="s">
        <v>7</v>
      </c>
      <c r="F22" s="74">
        <v>1</v>
      </c>
      <c r="G22" s="75">
        <v>12</v>
      </c>
      <c r="I22" s="108" t="str">
        <f t="shared" si="0"/>
        <v>('Сок','dish',55000,7,'mPc',1,12),</v>
      </c>
    </row>
    <row r="23" spans="1:9" ht="17" x14ac:dyDescent="0.2">
      <c r="A23" s="90" t="s">
        <v>28</v>
      </c>
      <c r="B23" s="94" t="s">
        <v>94</v>
      </c>
      <c r="C23" s="92">
        <v>80000</v>
      </c>
      <c r="D23" s="72">
        <v>8</v>
      </c>
      <c r="E23" s="73" t="s">
        <v>7</v>
      </c>
      <c r="F23" s="74">
        <v>1</v>
      </c>
      <c r="G23" s="75">
        <v>13</v>
      </c>
      <c r="I23" s="108" t="str">
        <f t="shared" si="0"/>
        <v>('Кексы','dish',80000,8,'mPc',1,13),</v>
      </c>
    </row>
    <row r="24" spans="1:9" ht="17" x14ac:dyDescent="0.2">
      <c r="A24" s="90" t="s">
        <v>29</v>
      </c>
      <c r="B24" s="94" t="s">
        <v>94</v>
      </c>
      <c r="C24" s="92">
        <v>120000</v>
      </c>
      <c r="D24" s="72">
        <v>9</v>
      </c>
      <c r="E24" s="73" t="s">
        <v>7</v>
      </c>
      <c r="F24" s="74">
        <v>1</v>
      </c>
      <c r="G24" s="75">
        <v>14</v>
      </c>
      <c r="I24" s="108" t="str">
        <f t="shared" si="0"/>
        <v>('Панкейки','dish',120000,9,'mPc',1,14),</v>
      </c>
    </row>
    <row r="25" spans="1:9" ht="17" x14ac:dyDescent="0.2">
      <c r="A25" s="90" t="s">
        <v>30</v>
      </c>
      <c r="B25" s="94" t="s">
        <v>94</v>
      </c>
      <c r="C25" s="92">
        <v>180000</v>
      </c>
      <c r="D25" s="72">
        <v>10</v>
      </c>
      <c r="E25" s="73" t="s">
        <v>7</v>
      </c>
      <c r="F25" s="74">
        <v>1</v>
      </c>
      <c r="G25" s="75">
        <v>15</v>
      </c>
      <c r="I25" s="108" t="str">
        <f t="shared" si="0"/>
        <v>('Американо','dish',180000,10,'mPc',1,15),</v>
      </c>
    </row>
    <row r="26" spans="1:9" ht="17" x14ac:dyDescent="0.2">
      <c r="A26" s="90" t="s">
        <v>31</v>
      </c>
      <c r="B26" s="94" t="s">
        <v>94</v>
      </c>
      <c r="C26" s="92">
        <v>260000</v>
      </c>
      <c r="D26" s="72">
        <v>11</v>
      </c>
      <c r="E26" s="73" t="s">
        <v>7</v>
      </c>
      <c r="F26" s="74">
        <v>1</v>
      </c>
      <c r="G26" s="75">
        <v>15</v>
      </c>
      <c r="I26" s="108" t="str">
        <f t="shared" si="0"/>
        <v>('Макаруны','dish',260000,11,'mPc',1,15),</v>
      </c>
    </row>
    <row r="27" spans="1:9" ht="17" x14ac:dyDescent="0.2">
      <c r="A27" s="90" t="s">
        <v>32</v>
      </c>
      <c r="B27" s="94" t="s">
        <v>94</v>
      </c>
      <c r="C27" s="92">
        <v>380000</v>
      </c>
      <c r="D27" s="72">
        <v>12</v>
      </c>
      <c r="E27" s="73" t="s">
        <v>7</v>
      </c>
      <c r="F27" s="74">
        <v>1</v>
      </c>
      <c r="G27" s="75">
        <v>15</v>
      </c>
      <c r="I27" s="108" t="str">
        <f t="shared" si="0"/>
        <v>('Капучино','dish',380000,12,'mPc',1,15),</v>
      </c>
    </row>
    <row r="28" spans="1:9" ht="17" x14ac:dyDescent="0.2">
      <c r="A28" s="90" t="s">
        <v>33</v>
      </c>
      <c r="B28" s="94" t="s">
        <v>94</v>
      </c>
      <c r="C28" s="92">
        <v>550000</v>
      </c>
      <c r="D28" s="72">
        <v>13</v>
      </c>
      <c r="E28" s="73" t="s">
        <v>7</v>
      </c>
      <c r="F28" s="74">
        <v>1</v>
      </c>
      <c r="G28" s="75">
        <v>16</v>
      </c>
      <c r="I28" s="108" t="str">
        <f t="shared" si="0"/>
        <v>('Морской салат','dish',550000,13,'mPc',1,16),</v>
      </c>
    </row>
    <row r="29" spans="1:9" ht="17" x14ac:dyDescent="0.2">
      <c r="A29" s="90" t="s">
        <v>34</v>
      </c>
      <c r="B29" s="94" t="s">
        <v>94</v>
      </c>
      <c r="C29" s="92">
        <v>800000</v>
      </c>
      <c r="D29" s="72">
        <v>15</v>
      </c>
      <c r="E29" s="73" t="s">
        <v>7</v>
      </c>
      <c r="F29" s="74">
        <v>1</v>
      </c>
      <c r="G29" s="75">
        <v>17</v>
      </c>
      <c r="I29" s="108" t="str">
        <f t="shared" si="0"/>
        <v>('Чай','dish',800000,15,'mPc',1,17),</v>
      </c>
    </row>
    <row r="30" spans="1:9" ht="17" x14ac:dyDescent="0.2">
      <c r="A30" s="90" t="s">
        <v>35</v>
      </c>
      <c r="B30" s="94" t="s">
        <v>94</v>
      </c>
      <c r="C30" s="92">
        <v>1200000</v>
      </c>
      <c r="D30" s="72">
        <v>16</v>
      </c>
      <c r="E30" s="73" t="s">
        <v>7</v>
      </c>
      <c r="F30" s="74">
        <v>1</v>
      </c>
      <c r="G30" s="75">
        <v>18</v>
      </c>
      <c r="I30" s="108" t="str">
        <f t="shared" si="0"/>
        <v>('Омлет','dish',1200000,16,'mPc',1,18),</v>
      </c>
    </row>
    <row r="31" spans="1:9" ht="17" x14ac:dyDescent="0.2">
      <c r="A31" s="90" t="s">
        <v>36</v>
      </c>
      <c r="B31" s="94" t="s">
        <v>94</v>
      </c>
      <c r="C31" s="92">
        <v>1800000</v>
      </c>
      <c r="D31" s="72">
        <v>19</v>
      </c>
      <c r="E31" s="73" t="s">
        <v>7</v>
      </c>
      <c r="F31" s="74">
        <v>1</v>
      </c>
      <c r="G31" s="75">
        <v>19</v>
      </c>
      <c r="I31" s="108" t="str">
        <f t="shared" si="0"/>
        <v>('Клубничный смузи','dish',1800000,19,'mPc',1,19),</v>
      </c>
    </row>
    <row r="32" spans="1:9" ht="17" x14ac:dyDescent="0.2">
      <c r="A32" s="90" t="s">
        <v>37</v>
      </c>
      <c r="B32" s="94" t="s">
        <v>94</v>
      </c>
      <c r="C32" s="92">
        <v>3000000</v>
      </c>
      <c r="D32" s="72">
        <v>21</v>
      </c>
      <c r="E32" s="73" t="s">
        <v>7</v>
      </c>
      <c r="F32" s="74">
        <v>1</v>
      </c>
      <c r="G32" s="75">
        <v>20</v>
      </c>
      <c r="I32" s="108" t="str">
        <f t="shared" si="0"/>
        <v>('Пицца','dish',3000000,21,'mPc',1,20),</v>
      </c>
    </row>
    <row r="33" spans="1:9" ht="17" x14ac:dyDescent="0.2">
      <c r="A33" s="90" t="s">
        <v>38</v>
      </c>
      <c r="B33" s="94" t="s">
        <v>94</v>
      </c>
      <c r="C33" s="92">
        <v>4500000</v>
      </c>
      <c r="D33" s="72">
        <v>25</v>
      </c>
      <c r="E33" s="73" t="s">
        <v>7</v>
      </c>
      <c r="F33" s="74">
        <v>1</v>
      </c>
      <c r="G33" s="75">
        <v>20</v>
      </c>
      <c r="I33" s="108" t="str">
        <f t="shared" si="0"/>
        <v>('Ролл с креветкой','dish',4500000,25,'mPc',1,20),</v>
      </c>
    </row>
    <row r="34" spans="1:9" ht="17" x14ac:dyDescent="0.2">
      <c r="A34" s="90" t="s">
        <v>39</v>
      </c>
      <c r="B34" s="94" t="s">
        <v>94</v>
      </c>
      <c r="C34" s="92">
        <v>6500000</v>
      </c>
      <c r="D34" s="72">
        <v>28</v>
      </c>
      <c r="E34" s="73" t="s">
        <v>7</v>
      </c>
      <c r="F34" s="74">
        <v>1</v>
      </c>
      <c r="G34" s="75">
        <v>20</v>
      </c>
      <c r="I34" s="108" t="str">
        <f t="shared" si="0"/>
        <v>('Палтус','dish',6500000,28,'mPc',1,20),</v>
      </c>
    </row>
    <row r="35" spans="1:9" ht="17" x14ac:dyDescent="0.2">
      <c r="A35" s="90" t="s">
        <v>40</v>
      </c>
      <c r="B35" s="94" t="s">
        <v>94</v>
      </c>
      <c r="C35" s="92">
        <v>9500000</v>
      </c>
      <c r="D35" s="72">
        <v>32</v>
      </c>
      <c r="E35" s="73" t="s">
        <v>7</v>
      </c>
      <c r="F35" s="74">
        <v>1</v>
      </c>
      <c r="G35" s="75">
        <v>21</v>
      </c>
      <c r="I35" s="108" t="str">
        <f t="shared" si="0"/>
        <v>('Мохито','dish',9500000,32,'mPc',1,21),</v>
      </c>
    </row>
    <row r="36" spans="1:9" ht="17" x14ac:dyDescent="0.2">
      <c r="A36" s="90" t="s">
        <v>41</v>
      </c>
      <c r="B36" s="94" t="s">
        <v>94</v>
      </c>
      <c r="C36" s="92">
        <v>14000000</v>
      </c>
      <c r="D36" s="72">
        <v>36</v>
      </c>
      <c r="E36" s="73" t="s">
        <v>7</v>
      </c>
      <c r="F36" s="74">
        <v>1</v>
      </c>
      <c r="G36" s="75">
        <v>22</v>
      </c>
      <c r="I36" s="108" t="str">
        <f t="shared" si="0"/>
        <v>('Спагетти','dish',14000000,36,'mPc',1,22),</v>
      </c>
    </row>
    <row r="37" spans="1:9" ht="17" x14ac:dyDescent="0.2">
      <c r="A37" s="90" t="s">
        <v>42</v>
      </c>
      <c r="B37" s="94" t="s">
        <v>94</v>
      </c>
      <c r="C37" s="92">
        <v>20000000</v>
      </c>
      <c r="D37" s="72">
        <v>17</v>
      </c>
      <c r="E37" s="73" t="s">
        <v>7</v>
      </c>
      <c r="F37" s="74">
        <v>1</v>
      </c>
      <c r="G37" s="75">
        <v>23</v>
      </c>
      <c r="I37" s="108" t="str">
        <f t="shared" si="0"/>
        <v>('Суфле','dish',20000000,17,'mPc',1,23),</v>
      </c>
    </row>
    <row r="38" spans="1:9" ht="17" x14ac:dyDescent="0.2">
      <c r="A38" s="90" t="s">
        <v>43</v>
      </c>
      <c r="B38" s="94" t="s">
        <v>94</v>
      </c>
      <c r="C38" s="92">
        <v>30000000</v>
      </c>
      <c r="D38" s="72">
        <v>20</v>
      </c>
      <c r="E38" s="73" t="s">
        <v>7</v>
      </c>
      <c r="F38" s="74">
        <v>1</v>
      </c>
      <c r="G38" s="75">
        <v>24</v>
      </c>
      <c r="I38" s="108" t="str">
        <f t="shared" si="0"/>
        <v>('Вино','dish',30000000,20,'mPc',1,24),</v>
      </c>
    </row>
    <row r="39" spans="1:9" ht="17" x14ac:dyDescent="0.2">
      <c r="A39" s="90" t="s">
        <v>44</v>
      </c>
      <c r="B39" s="94" t="s">
        <v>94</v>
      </c>
      <c r="C39" s="92">
        <v>45000000</v>
      </c>
      <c r="D39" s="72">
        <v>23</v>
      </c>
      <c r="E39" s="73" t="s">
        <v>7</v>
      </c>
      <c r="F39" s="74">
        <v>1</v>
      </c>
      <c r="G39" s="75">
        <v>25</v>
      </c>
      <c r="I39" s="108" t="str">
        <f t="shared" si="0"/>
        <v>('Рамен','dish',45000000,23,'mPc',1,25),</v>
      </c>
    </row>
    <row r="40" spans="1:9" ht="17" x14ac:dyDescent="0.2">
      <c r="A40" s="90" t="s">
        <v>45</v>
      </c>
      <c r="B40" s="94" t="s">
        <v>94</v>
      </c>
      <c r="C40" s="92">
        <v>70000000</v>
      </c>
      <c r="D40" s="72">
        <v>26</v>
      </c>
      <c r="E40" s="73" t="s">
        <v>7</v>
      </c>
      <c r="F40" s="74">
        <v>1</v>
      </c>
      <c r="G40" s="75">
        <v>26</v>
      </c>
      <c r="I40" s="108" t="str">
        <f t="shared" si="0"/>
        <v>('Стейк','dish',70000000,26,'mPc',1,26),</v>
      </c>
    </row>
    <row r="41" spans="1:9" ht="17" x14ac:dyDescent="0.2">
      <c r="A41" s="90" t="s">
        <v>46</v>
      </c>
      <c r="B41" s="94" t="s">
        <v>94</v>
      </c>
      <c r="C41" s="92">
        <v>110000000</v>
      </c>
      <c r="D41" s="72">
        <v>32</v>
      </c>
      <c r="E41" s="73" t="s">
        <v>7</v>
      </c>
      <c r="F41" s="74">
        <v>1</v>
      </c>
      <c r="G41" s="75">
        <v>27</v>
      </c>
      <c r="I41" s="108" t="str">
        <f t="shared" si="0"/>
        <v>('Дракон-ролл','dish',110000000,32,'mPc',1,27),</v>
      </c>
    </row>
    <row r="42" spans="1:9" ht="17" x14ac:dyDescent="0.2">
      <c r="A42" s="90" t="s">
        <v>47</v>
      </c>
      <c r="B42" s="94" t="s">
        <v>94</v>
      </c>
      <c r="C42" s="92">
        <v>170000000</v>
      </c>
      <c r="D42" s="72">
        <v>38</v>
      </c>
      <c r="E42" s="73" t="s">
        <v>7</v>
      </c>
      <c r="F42" s="74">
        <v>1</v>
      </c>
      <c r="G42" s="75">
        <v>28</v>
      </c>
      <c r="I42" s="108" t="str">
        <f t="shared" si="0"/>
        <v>('Том-Ям','dish',170000000,38,'mPc',1,28),</v>
      </c>
    </row>
    <row r="43" spans="1:9" ht="17" x14ac:dyDescent="0.2">
      <c r="A43" s="90" t="s">
        <v>48</v>
      </c>
      <c r="B43" s="94" t="s">
        <v>94</v>
      </c>
      <c r="C43" s="92">
        <v>260000000</v>
      </c>
      <c r="D43" s="72">
        <v>46</v>
      </c>
      <c r="E43" s="73" t="s">
        <v>7</v>
      </c>
      <c r="F43" s="74">
        <v>1</v>
      </c>
      <c r="G43" s="75">
        <v>29</v>
      </c>
      <c r="I43" s="108" t="str">
        <f t="shared" si="0"/>
        <v>('Суши-сет','dish',260000000,46,'mPc',1,29),</v>
      </c>
    </row>
    <row r="44" spans="1:9" ht="17" x14ac:dyDescent="0.2">
      <c r="A44" s="90" t="s">
        <v>49</v>
      </c>
      <c r="B44" s="94" t="s">
        <v>94</v>
      </c>
      <c r="C44" s="92">
        <v>400000000</v>
      </c>
      <c r="D44" s="72">
        <v>56</v>
      </c>
      <c r="E44" s="73" t="s">
        <v>7</v>
      </c>
      <c r="F44" s="74">
        <v>1</v>
      </c>
      <c r="G44" s="75">
        <v>30</v>
      </c>
      <c r="I44" s="108" t="str">
        <f t="shared" si="0"/>
        <v>('Авторское','dish',400000000,56,'mPc',1,30),</v>
      </c>
    </row>
    <row r="45" spans="1:9" ht="17" x14ac:dyDescent="0.2">
      <c r="A45" s="90" t="s">
        <v>50</v>
      </c>
      <c r="B45" s="94" t="s">
        <v>94</v>
      </c>
      <c r="C45" s="92">
        <v>600000000</v>
      </c>
      <c r="D45" s="72">
        <v>67</v>
      </c>
      <c r="E45" s="73" t="s">
        <v>7</v>
      </c>
      <c r="F45" s="74">
        <v>1</v>
      </c>
      <c r="G45" s="75">
        <v>30</v>
      </c>
      <c r="I45" s="108" t="str">
        <f t="shared" si="0"/>
        <v>('Апероль Спритц','dish',600000000,67,'mPc',1,30),</v>
      </c>
    </row>
    <row r="46" spans="1:9" ht="17" x14ac:dyDescent="0.2">
      <c r="A46" s="90" t="s">
        <v>51</v>
      </c>
      <c r="B46" s="94" t="s">
        <v>94</v>
      </c>
      <c r="C46" s="92">
        <v>900000000</v>
      </c>
      <c r="D46" s="72">
        <v>79</v>
      </c>
      <c r="E46" s="73" t="s">
        <v>7</v>
      </c>
      <c r="F46" s="74">
        <v>1</v>
      </c>
      <c r="G46" s="75">
        <v>30</v>
      </c>
      <c r="I46" s="108" t="str">
        <f t="shared" si="0"/>
        <v>('Мясная нарезка','dish',900000000,79,'mPc',1,30),</v>
      </c>
    </row>
    <row r="47" spans="1:9" ht="17" x14ac:dyDescent="0.2">
      <c r="A47" s="90" t="s">
        <v>52</v>
      </c>
      <c r="B47" s="94" t="s">
        <v>94</v>
      </c>
      <c r="C47" s="92">
        <v>1400000000</v>
      </c>
      <c r="D47" s="72">
        <v>95</v>
      </c>
      <c r="E47" s="73" t="s">
        <v>7</v>
      </c>
      <c r="F47" s="74">
        <v>1</v>
      </c>
      <c r="G47" s="75">
        <v>35</v>
      </c>
      <c r="I47" s="108" t="str">
        <f t="shared" si="0"/>
        <v>('Френч-сет','dish',1400000000,95,'mPc',1,35),</v>
      </c>
    </row>
    <row r="48" spans="1:9" ht="17" x14ac:dyDescent="0.2">
      <c r="A48" s="90" t="s">
        <v>53</v>
      </c>
      <c r="B48" s="94" t="s">
        <v>94</v>
      </c>
      <c r="C48" s="92">
        <v>2200000000</v>
      </c>
      <c r="D48" s="72">
        <v>115</v>
      </c>
      <c r="E48" s="73" t="s">
        <v>7</v>
      </c>
      <c r="F48" s="74">
        <v>1</v>
      </c>
      <c r="G48" s="75">
        <v>40</v>
      </c>
      <c r="I48" s="108" t="str">
        <f t="shared" si="0"/>
        <v>('Рыбный микс','dish',2200000000,115,'mPc',1,40),</v>
      </c>
    </row>
    <row r="49" spans="1:9" ht="17" x14ac:dyDescent="0.2">
      <c r="A49" s="90" t="s">
        <v>54</v>
      </c>
      <c r="B49" s="94" t="s">
        <v>94</v>
      </c>
      <c r="C49" s="92">
        <v>3500000000</v>
      </c>
      <c r="D49" s="72">
        <v>139</v>
      </c>
      <c r="E49" s="73" t="s">
        <v>7</v>
      </c>
      <c r="F49" s="74">
        <v>1</v>
      </c>
      <c r="G49" s="75">
        <v>40</v>
      </c>
      <c r="I49" s="108" t="str">
        <f t="shared" si="0"/>
        <v>('Блюдо от шефа','dish',3500000000,139,'mPc',1,40),</v>
      </c>
    </row>
    <row r="50" spans="1:9" ht="17" x14ac:dyDescent="0.2">
      <c r="A50" s="90" t="s">
        <v>55</v>
      </c>
      <c r="B50" s="94" t="s">
        <v>94</v>
      </c>
      <c r="C50" s="92">
        <v>5500000000</v>
      </c>
      <c r="D50" s="72">
        <v>170</v>
      </c>
      <c r="E50" s="73" t="s">
        <v>7</v>
      </c>
      <c r="F50" s="74">
        <v>1</v>
      </c>
      <c r="G50" s="75">
        <v>40</v>
      </c>
      <c r="I50" s="108" t="str">
        <f t="shared" si="0"/>
        <v>('Бабл-ти матча','dish',5500000000,170,'mPc',1,40),</v>
      </c>
    </row>
    <row r="51" spans="1:9" ht="17" x14ac:dyDescent="0.2">
      <c r="A51" s="90" t="s">
        <v>56</v>
      </c>
      <c r="B51" s="94" t="s">
        <v>94</v>
      </c>
      <c r="C51" s="92">
        <v>8500000000</v>
      </c>
      <c r="D51" s="72">
        <v>206</v>
      </c>
      <c r="E51" s="73" t="s">
        <v>7</v>
      </c>
      <c r="F51" s="74">
        <v>1</v>
      </c>
      <c r="G51" s="75">
        <v>45</v>
      </c>
      <c r="I51" s="108" t="str">
        <f t="shared" si="0"/>
        <v>('Тропический сет','dish',8500000000,206,'mPc',1,45),</v>
      </c>
    </row>
    <row r="52" spans="1:9" ht="17" x14ac:dyDescent="0.2">
      <c r="A52" s="90" t="s">
        <v>57</v>
      </c>
      <c r="B52" s="94" t="s">
        <v>94</v>
      </c>
      <c r="C52" s="92">
        <v>13000000000</v>
      </c>
      <c r="D52" s="72">
        <v>251</v>
      </c>
      <c r="E52" s="73" t="s">
        <v>7</v>
      </c>
      <c r="F52" s="74">
        <v>1</v>
      </c>
      <c r="G52" s="75">
        <v>50</v>
      </c>
      <c r="I52" s="108" t="str">
        <f t="shared" si="0"/>
        <v>('Конфи из утки','dish',13000000000,251,'mPc',1,50),</v>
      </c>
    </row>
    <row r="53" spans="1:9" ht="17" x14ac:dyDescent="0.2">
      <c r="A53" s="90" t="s">
        <v>58</v>
      </c>
      <c r="B53" s="94" t="s">
        <v>94</v>
      </c>
      <c r="C53" s="92">
        <v>20000000000</v>
      </c>
      <c r="D53" s="72">
        <v>305</v>
      </c>
      <c r="E53" s="73" t="s">
        <v>7</v>
      </c>
      <c r="F53" s="74">
        <v>1</v>
      </c>
      <c r="G53" s="75">
        <v>50</v>
      </c>
      <c r="I53" s="108" t="str">
        <f t="shared" si="0"/>
        <v>('Бургер с трюфелем','dish',20000000000,305,'mPc',1,50),</v>
      </c>
    </row>
    <row r="54" spans="1:9" ht="17" x14ac:dyDescent="0.2">
      <c r="A54" s="90" t="s">
        <v>59</v>
      </c>
      <c r="B54" s="94" t="s">
        <v>94</v>
      </c>
      <c r="C54" s="92">
        <v>32000000000</v>
      </c>
      <c r="D54" s="72">
        <v>371</v>
      </c>
      <c r="E54" s="73" t="s">
        <v>7</v>
      </c>
      <c r="F54" s="74">
        <v>1</v>
      </c>
      <c r="G54" s="75">
        <v>50</v>
      </c>
      <c r="I54" s="108" t="str">
        <f t="shared" si="0"/>
        <v>('Бабл-ти анчан','dish',32000000000,371,'mPc',1,50),</v>
      </c>
    </row>
    <row r="55" spans="1:9" ht="17" x14ac:dyDescent="0.2">
      <c r="A55" s="90" t="s">
        <v>60</v>
      </c>
      <c r="B55" s="94" t="s">
        <v>94</v>
      </c>
      <c r="C55" s="92">
        <v>50000000000</v>
      </c>
      <c r="D55" s="72">
        <v>450</v>
      </c>
      <c r="E55" s="73" t="s">
        <v>7</v>
      </c>
      <c r="F55" s="74">
        <v>1</v>
      </c>
      <c r="G55" s="75">
        <v>50</v>
      </c>
      <c r="I55" s="108" t="str">
        <f t="shared" si="0"/>
        <v>('Фуа-гра сет','dish',50000000000,450,'mPc',1,50),</v>
      </c>
    </row>
    <row r="56" spans="1:9" ht="17" x14ac:dyDescent="0.2">
      <c r="A56" s="90" t="s">
        <v>61</v>
      </c>
      <c r="B56" s="94" t="s">
        <v>94</v>
      </c>
      <c r="C56" s="92">
        <v>80000000000</v>
      </c>
      <c r="D56" s="72">
        <v>547</v>
      </c>
      <c r="E56" s="73" t="s">
        <v>7</v>
      </c>
      <c r="F56" s="74">
        <v>1</v>
      </c>
      <c r="G56" s="75">
        <v>50</v>
      </c>
      <c r="I56" s="108" t="str">
        <f t="shared" si="0"/>
        <v>('Мишлен-фантазия','dish',80000000000,547,'mPc',1,50),</v>
      </c>
    </row>
    <row r="57" spans="1:9" ht="17" x14ac:dyDescent="0.2">
      <c r="A57" s="90" t="s">
        <v>62</v>
      </c>
      <c r="B57" s="94" t="s">
        <v>94</v>
      </c>
      <c r="C57" s="92">
        <v>125000000000</v>
      </c>
      <c r="D57" s="72">
        <v>666</v>
      </c>
      <c r="E57" s="73" t="s">
        <v>7</v>
      </c>
      <c r="F57" s="74">
        <v>1</v>
      </c>
      <c r="G57" s="75">
        <v>55</v>
      </c>
      <c r="I57" s="108" t="str">
        <f t="shared" si="0"/>
        <v>('Морская сет','dish',125000000000,666,'mPc',1,55),</v>
      </c>
    </row>
    <row r="58" spans="1:9" ht="17" x14ac:dyDescent="0.2">
      <c r="A58" s="90" t="s">
        <v>63</v>
      </c>
      <c r="B58" s="94" t="s">
        <v>94</v>
      </c>
      <c r="C58" s="92">
        <v>200000000000</v>
      </c>
      <c r="D58" s="72">
        <v>812</v>
      </c>
      <c r="E58" s="73" t="s">
        <v>7</v>
      </c>
      <c r="F58" s="74">
        <v>1</v>
      </c>
      <c r="G58" s="75">
        <v>60</v>
      </c>
      <c r="I58" s="108" t="str">
        <f t="shared" si="0"/>
        <v>('Матча латте','dish',200000000000,812,'mPc',1,60),</v>
      </c>
    </row>
    <row r="59" spans="1:9" ht="17" x14ac:dyDescent="0.2">
      <c r="A59" s="90" t="s">
        <v>64</v>
      </c>
      <c r="B59" s="94" t="s">
        <v>94</v>
      </c>
      <c r="C59" s="92">
        <v>320000000000</v>
      </c>
      <c r="D59" s="72">
        <v>984</v>
      </c>
      <c r="E59" s="73" t="s">
        <v>7</v>
      </c>
      <c r="F59" s="74">
        <v>1</v>
      </c>
      <c r="G59" s="75">
        <v>60</v>
      </c>
      <c r="I59" s="108" t="str">
        <f t="shared" si="0"/>
        <v>('Супрем-блюдо','dish',320000000000,984,'mPc',1,60),</v>
      </c>
    </row>
    <row r="60" spans="1:9" ht="17" x14ac:dyDescent="0.2">
      <c r="A60" s="90" t="s">
        <v>65</v>
      </c>
      <c r="B60" s="94" t="s">
        <v>94</v>
      </c>
      <c r="C60" s="92">
        <v>520000000000</v>
      </c>
      <c r="D60" s="72">
        <v>1192</v>
      </c>
      <c r="E60" s="73" t="s">
        <v>7</v>
      </c>
      <c r="F60" s="74">
        <v>1</v>
      </c>
      <c r="G60" s="75">
        <v>60</v>
      </c>
      <c r="I60" s="108" t="str">
        <f t="shared" si="0"/>
        <v>('Десертный сет','dish',520000000000,1192,'mPc',1,60),</v>
      </c>
    </row>
    <row r="61" spans="1:9" ht="18" thickBot="1" x14ac:dyDescent="0.25">
      <c r="A61" s="76" t="s">
        <v>66</v>
      </c>
      <c r="B61" s="93" t="s">
        <v>94</v>
      </c>
      <c r="C61" s="77">
        <v>900000000000</v>
      </c>
      <c r="D61" s="78">
        <v>1455</v>
      </c>
      <c r="E61" s="79" t="s">
        <v>7</v>
      </c>
      <c r="F61" s="80">
        <v>1</v>
      </c>
      <c r="G61" s="81">
        <v>65</v>
      </c>
      <c r="I61" s="108" t="str">
        <f t="shared" si="0"/>
        <v>('Панна-котта','dish',900000000000,1455,'mPc',1,65),</v>
      </c>
    </row>
    <row r="62" spans="1:9" ht="17" x14ac:dyDescent="0.2">
      <c r="A62" s="50" t="s">
        <v>67</v>
      </c>
      <c r="B62" s="98" t="s">
        <v>95</v>
      </c>
      <c r="C62" s="51">
        <v>250</v>
      </c>
      <c r="D62" s="52">
        <v>1</v>
      </c>
      <c r="E62" s="53" t="s">
        <v>68</v>
      </c>
      <c r="F62" s="54">
        <v>3.2</v>
      </c>
      <c r="G62" s="55">
        <v>1</v>
      </c>
      <c r="I62" s="108" t="str">
        <f t="shared" si="0"/>
        <v>('Новая плита','equipment',250,1,'dPc',3,2,1),</v>
      </c>
    </row>
    <row r="63" spans="1:9" ht="17" x14ac:dyDescent="0.2">
      <c r="A63" s="56" t="s">
        <v>69</v>
      </c>
      <c r="B63" s="99" t="s">
        <v>95</v>
      </c>
      <c r="C63" s="57">
        <v>800</v>
      </c>
      <c r="D63" s="58">
        <v>2</v>
      </c>
      <c r="E63" s="59" t="s">
        <v>68</v>
      </c>
      <c r="F63" s="60">
        <v>3.5</v>
      </c>
      <c r="G63" s="61">
        <v>3</v>
      </c>
      <c r="I63" s="108" t="str">
        <f t="shared" si="0"/>
        <v>('Газовая горелка','equipment',800,2,'dPc',3,5,3),</v>
      </c>
    </row>
    <row r="64" spans="1:9" ht="17" x14ac:dyDescent="0.2">
      <c r="A64" s="56" t="s">
        <v>70</v>
      </c>
      <c r="B64" s="99" t="s">
        <v>95</v>
      </c>
      <c r="C64" s="57">
        <v>1500</v>
      </c>
      <c r="D64" s="58">
        <v>2</v>
      </c>
      <c r="E64" s="59" t="s">
        <v>71</v>
      </c>
      <c r="F64" s="60">
        <v>3</v>
      </c>
      <c r="G64" s="61">
        <v>5</v>
      </c>
      <c r="I64" s="108" t="str">
        <f t="shared" si="0"/>
        <v>('Доп. касса','equipment',1500,2,'sPs',3,5),</v>
      </c>
    </row>
    <row r="65" spans="1:9" ht="18" thickBot="1" x14ac:dyDescent="0.25">
      <c r="A65" s="56" t="s">
        <v>72</v>
      </c>
      <c r="B65" s="99" t="s">
        <v>95</v>
      </c>
      <c r="C65" s="57">
        <v>4000</v>
      </c>
      <c r="D65" s="58">
        <v>1</v>
      </c>
      <c r="E65" s="59" t="s">
        <v>73</v>
      </c>
      <c r="F65" s="60">
        <v>5</v>
      </c>
      <c r="G65" s="61">
        <v>5</v>
      </c>
      <c r="I65" s="112" t="str">
        <f t="shared" si="0"/>
        <v>('Проф. духовка','equipment',4000,1,'dPs',5,5),</v>
      </c>
    </row>
    <row r="66" spans="1:9" ht="18" thickBot="1" x14ac:dyDescent="0.25">
      <c r="A66" s="56" t="s">
        <v>74</v>
      </c>
      <c r="B66" s="99" t="s">
        <v>95</v>
      </c>
      <c r="C66" s="57">
        <v>15000</v>
      </c>
      <c r="D66" s="58">
        <v>1</v>
      </c>
      <c r="E66" s="59" t="s">
        <v>75</v>
      </c>
      <c r="F66" s="60">
        <v>2.2999999999999998</v>
      </c>
      <c r="G66" s="61">
        <v>7</v>
      </c>
      <c r="I66" s="113" t="str">
        <f t="shared" si="0"/>
        <v>('Умная касса','equipment',15000,1,'mPs',2,3,7),</v>
      </c>
    </row>
    <row r="67" spans="1:9" ht="18" thickBot="1" x14ac:dyDescent="0.25">
      <c r="A67" s="62" t="s">
        <v>76</v>
      </c>
      <c r="B67" s="99" t="s">
        <v>95</v>
      </c>
      <c r="C67" s="63">
        <v>200000</v>
      </c>
      <c r="D67" s="64">
        <v>2</v>
      </c>
      <c r="E67" s="65" t="s">
        <v>77</v>
      </c>
      <c r="F67" s="66">
        <v>2.8</v>
      </c>
      <c r="G67" s="67">
        <v>20</v>
      </c>
      <c r="I67" s="109" t="str">
        <f t="shared" ref="I67:I79" si="1">"('" &amp; A67 &amp; "','" &amp; B67 &amp; "'," &amp; C67 &amp; "," &amp; D67 &amp; ",'" &amp; E67 &amp; "'," &amp; F67 &amp; "," &amp; G67 &amp; "),"</f>
        <v>('Современный гриль','equipment',200000,2,'dM',2,8,20),</v>
      </c>
    </row>
    <row r="68" spans="1:9" ht="17" x14ac:dyDescent="0.2">
      <c r="A68" s="33" t="s">
        <v>78</v>
      </c>
      <c r="B68" s="100" t="s">
        <v>96</v>
      </c>
      <c r="C68" s="34">
        <v>15000</v>
      </c>
      <c r="D68" s="35">
        <v>2</v>
      </c>
      <c r="E68" s="36" t="s">
        <v>77</v>
      </c>
      <c r="F68" s="37">
        <v>3.5</v>
      </c>
      <c r="G68" s="38">
        <v>10</v>
      </c>
      <c r="I68" s="108" t="str">
        <f t="shared" si="1"/>
        <v>('Реклама блюд','global',15000,2,'dM',3,5,10),</v>
      </c>
    </row>
    <row r="69" spans="1:9" ht="17" x14ac:dyDescent="0.2">
      <c r="A69" s="39" t="s">
        <v>81</v>
      </c>
      <c r="B69" s="101" t="s">
        <v>96</v>
      </c>
      <c r="C69" s="40">
        <v>50000</v>
      </c>
      <c r="D69" s="41">
        <v>1.5</v>
      </c>
      <c r="E69" s="42" t="s">
        <v>84</v>
      </c>
      <c r="F69" s="43">
        <v>3</v>
      </c>
      <c r="G69" s="44">
        <v>15</v>
      </c>
      <c r="I69" s="108" t="str">
        <f t="shared" si="1"/>
        <v>('Повышение цен','global',50000,1,5,'mM',3,15),</v>
      </c>
    </row>
    <row r="70" spans="1:9" ht="17" x14ac:dyDescent="0.2">
      <c r="A70" s="39" t="s">
        <v>79</v>
      </c>
      <c r="B70" s="101" t="s">
        <v>96</v>
      </c>
      <c r="C70" s="40">
        <v>95000</v>
      </c>
      <c r="D70" s="41">
        <v>10</v>
      </c>
      <c r="E70" s="42" t="s">
        <v>71</v>
      </c>
      <c r="F70" s="43">
        <v>3</v>
      </c>
      <c r="G70" s="44">
        <v>20</v>
      </c>
      <c r="I70" s="108" t="str">
        <f t="shared" si="1"/>
        <v>('Качество персонала','global',95000,10,'sPs',3,20),</v>
      </c>
    </row>
    <row r="71" spans="1:9" ht="17" x14ac:dyDescent="0.2">
      <c r="A71" s="39" t="s">
        <v>82</v>
      </c>
      <c r="B71" s="101" t="s">
        <v>96</v>
      </c>
      <c r="C71" s="40">
        <v>500000</v>
      </c>
      <c r="D71" s="41">
        <v>2</v>
      </c>
      <c r="E71" s="42" t="s">
        <v>85</v>
      </c>
      <c r="F71" s="43">
        <v>2.4</v>
      </c>
      <c r="G71" s="44">
        <v>30</v>
      </c>
      <c r="I71" s="108" t="str">
        <f t="shared" si="1"/>
        <v>('Авто-продажи','global',500000,2,'mpM',2,4,30),</v>
      </c>
    </row>
    <row r="72" spans="1:9" ht="17" x14ac:dyDescent="0.2">
      <c r="A72" s="39" t="s">
        <v>83</v>
      </c>
      <c r="B72" s="101" t="s">
        <v>96</v>
      </c>
      <c r="C72" s="40">
        <v>5000000</v>
      </c>
      <c r="D72" s="41">
        <v>5</v>
      </c>
      <c r="E72" s="42" t="s">
        <v>85</v>
      </c>
      <c r="F72" s="43">
        <v>2.8</v>
      </c>
      <c r="G72" s="44">
        <v>40</v>
      </c>
      <c r="I72" s="108" t="str">
        <f t="shared" si="1"/>
        <v>('Экспресс-доставка','global',5000000,5,'mpM',2,8,40),</v>
      </c>
    </row>
    <row r="73" spans="1:9" ht="18" thickBot="1" x14ac:dyDescent="0.25">
      <c r="A73" s="45" t="s">
        <v>80</v>
      </c>
      <c r="B73" s="101" t="s">
        <v>96</v>
      </c>
      <c r="C73" s="82">
        <v>10000000</v>
      </c>
      <c r="D73" s="46">
        <v>100</v>
      </c>
      <c r="E73" s="47" t="s">
        <v>71</v>
      </c>
      <c r="F73" s="48">
        <v>2</v>
      </c>
      <c r="G73" s="49">
        <v>40</v>
      </c>
      <c r="I73" s="108" t="str">
        <f t="shared" si="1"/>
        <v>('Быстрый расчет','global',10000000,100,'sPs',2,40),</v>
      </c>
    </row>
    <row r="74" spans="1:9" ht="17" x14ac:dyDescent="0.2">
      <c r="A74" s="30" t="s">
        <v>86</v>
      </c>
      <c r="B74" s="102" t="s">
        <v>97</v>
      </c>
      <c r="C74" s="31">
        <v>100000</v>
      </c>
      <c r="D74" s="6">
        <v>10</v>
      </c>
      <c r="E74" s="7" t="s">
        <v>75</v>
      </c>
      <c r="F74" s="8">
        <v>2.2999999999999998</v>
      </c>
      <c r="G74" s="9">
        <v>20</v>
      </c>
      <c r="I74" s="108" t="str">
        <f t="shared" si="1"/>
        <v>('Официант','staff',100000,10,'mPs',2,3,20),</v>
      </c>
    </row>
    <row r="75" spans="1:9" ht="18" thickBot="1" x14ac:dyDescent="0.25">
      <c r="A75" s="10" t="s">
        <v>87</v>
      </c>
      <c r="B75" s="103" t="s">
        <v>97</v>
      </c>
      <c r="C75" s="32">
        <v>80000</v>
      </c>
      <c r="D75" s="11">
        <v>10</v>
      </c>
      <c r="E75" s="12" t="s">
        <v>73</v>
      </c>
      <c r="F75" s="13">
        <v>2.2999999999999998</v>
      </c>
      <c r="G75" s="14">
        <v>20</v>
      </c>
      <c r="I75" s="108" t="str">
        <f t="shared" si="1"/>
        <v>('Шеф-повар','staff',80000,10,'dPs',2,3,20),</v>
      </c>
    </row>
    <row r="76" spans="1:9" ht="17" x14ac:dyDescent="0.2">
      <c r="A76" s="15" t="s">
        <v>88</v>
      </c>
      <c r="B76" s="104" t="s">
        <v>98</v>
      </c>
      <c r="C76" s="83">
        <v>100000000000</v>
      </c>
      <c r="D76" s="16">
        <v>500</v>
      </c>
      <c r="E76" s="17" t="s">
        <v>75</v>
      </c>
      <c r="F76" s="18">
        <v>2.2000000000000002</v>
      </c>
      <c r="G76" s="19">
        <v>70</v>
      </c>
      <c r="I76" s="108" t="str">
        <f t="shared" si="1"/>
        <v>('Фудтрак','point',100000000000,500,'mPs',2,2,70),</v>
      </c>
    </row>
    <row r="77" spans="1:9" ht="17" x14ac:dyDescent="0.2">
      <c r="A77" s="20" t="s">
        <v>89</v>
      </c>
      <c r="B77" s="105" t="s">
        <v>98</v>
      </c>
      <c r="C77" s="84">
        <v>150000000000</v>
      </c>
      <c r="D77" s="21">
        <v>1500</v>
      </c>
      <c r="E77" s="22" t="s">
        <v>75</v>
      </c>
      <c r="F77" s="23">
        <v>2.2000000000000002</v>
      </c>
      <c r="G77" s="24">
        <v>75</v>
      </c>
      <c r="I77" s="108" t="str">
        <f t="shared" si="1"/>
        <v>('Маленькое кафе','point',150000000000,1500,'mPs',2,2,75),</v>
      </c>
    </row>
    <row r="78" spans="1:9" ht="17" x14ac:dyDescent="0.2">
      <c r="A78" s="20" t="s">
        <v>90</v>
      </c>
      <c r="B78" s="105" t="s">
        <v>98</v>
      </c>
      <c r="C78" s="84">
        <v>500000000000</v>
      </c>
      <c r="D78" s="21">
        <v>5000</v>
      </c>
      <c r="E78" s="22" t="s">
        <v>75</v>
      </c>
      <c r="F78" s="23">
        <v>2.2999999999999998</v>
      </c>
      <c r="G78" s="24">
        <v>80</v>
      </c>
      <c r="I78" s="108" t="str">
        <f t="shared" si="1"/>
        <v>('Ресторан','point',500000000000,5000,'mPs',2,3,80),</v>
      </c>
    </row>
    <row r="79" spans="1:9" ht="18" thickBot="1" x14ac:dyDescent="0.25">
      <c r="A79" s="25" t="s">
        <v>91</v>
      </c>
      <c r="B79" s="106" t="s">
        <v>98</v>
      </c>
      <c r="C79" s="85">
        <v>1500000000000</v>
      </c>
      <c r="D79" s="26">
        <v>15000</v>
      </c>
      <c r="E79" s="27" t="s">
        <v>75</v>
      </c>
      <c r="F79" s="28">
        <v>2.4</v>
      </c>
      <c r="G79" s="29">
        <v>90</v>
      </c>
      <c r="I79" s="111" t="str">
        <f>"('" &amp; A79 &amp; "','" &amp; B79 &amp; "'," &amp; C79 &amp; "," &amp; D79 &amp; ",'" &amp; E79 &amp; "'," &amp; F79 &amp; "," &amp; G79 &amp; "),"</f>
        <v>('Гастро-ресторан','point',1500000000000,15000,'mPs',2,4,90),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Игорь Туртыгин</dc:creator>
  <cp:lastModifiedBy>Игорь Туртыгин</cp:lastModifiedBy>
  <dcterms:created xsi:type="dcterms:W3CDTF">2025-12-16T22:37:10Z</dcterms:created>
  <dcterms:modified xsi:type="dcterms:W3CDTF">2025-12-16T23:18:53Z</dcterms:modified>
</cp:coreProperties>
</file>