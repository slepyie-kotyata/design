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1kx/Downloads/"/>
    </mc:Choice>
  </mc:AlternateContent>
  <xr:revisionPtr revIDLastSave="0" documentId="13_ncr:1_{BA2294F1-F7DD-964F-A616-CA68B12F11A2}" xr6:coauthVersionLast="47" xr6:coauthVersionMax="47" xr10:uidLastSave="{00000000-0000-0000-0000-000000000000}"/>
  <bookViews>
    <workbookView xWindow="0" yWindow="500" windowWidth="25600" windowHeight="15500" xr2:uid="{8AF5AB6E-9773-684C-8C9E-85B0D6E7A21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0" i="1" l="1"/>
  <c r="I80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3" i="1"/>
</calcChain>
</file>

<file path=xl/sharedStrings.xml><?xml version="1.0" encoding="utf-8"?>
<sst xmlns="http://schemas.openxmlformats.org/spreadsheetml/2006/main" count="244" uniqueCount="101">
  <si>
    <t>Сэндвич</t>
  </si>
  <si>
    <t>Название</t>
  </si>
  <si>
    <t>Базовая цена</t>
  </si>
  <si>
    <t>Бонус</t>
  </si>
  <si>
    <t>Тип бонуса</t>
  </si>
  <si>
    <t>Увеличение цены (коэффициент)</t>
  </si>
  <si>
    <t>Уровень доступа</t>
  </si>
  <si>
    <t>mPc</t>
  </si>
  <si>
    <t>Газировка</t>
  </si>
  <si>
    <t>Картошка фри</t>
  </si>
  <si>
    <t>Наггетсы</t>
  </si>
  <si>
    <t>Гамбургер</t>
  </si>
  <si>
    <t xml:space="preserve">Картоф. дольки </t>
  </si>
  <si>
    <t>Хот-дог</t>
  </si>
  <si>
    <t>Чизбургер</t>
  </si>
  <si>
    <t>Милкшейк клубника</t>
  </si>
  <si>
    <t>Тако</t>
  </si>
  <si>
    <t>Панини</t>
  </si>
  <si>
    <t>Вафля</t>
  </si>
  <si>
    <t>Буррито</t>
  </si>
  <si>
    <t>Багет</t>
  </si>
  <si>
    <t>Пончик</t>
  </si>
  <si>
    <t>Мороженое</t>
  </si>
  <si>
    <t>Тирамису</t>
  </si>
  <si>
    <t>Милкшейк ваниль</t>
  </si>
  <si>
    <t>Круассаны</t>
  </si>
  <si>
    <t>Чизкейк</t>
  </si>
  <si>
    <t>Сок</t>
  </si>
  <si>
    <t>Кексы</t>
  </si>
  <si>
    <t>Панкейки</t>
  </si>
  <si>
    <t>Американо</t>
  </si>
  <si>
    <t>Макаруны</t>
  </si>
  <si>
    <t>Капучино</t>
  </si>
  <si>
    <t>Морской салат</t>
  </si>
  <si>
    <t>Чай</t>
  </si>
  <si>
    <t>Омлет</t>
  </si>
  <si>
    <t>Клубничный смузи</t>
  </si>
  <si>
    <t>Пицца</t>
  </si>
  <si>
    <t>Ролл с креветкой</t>
  </si>
  <si>
    <t>Палтус</t>
  </si>
  <si>
    <t>Мохито</t>
  </si>
  <si>
    <t>Спагетти</t>
  </si>
  <si>
    <t>Суфле</t>
  </si>
  <si>
    <t>Вино</t>
  </si>
  <si>
    <t>Рамен</t>
  </si>
  <si>
    <t>Стейк</t>
  </si>
  <si>
    <t>Дракон-ролл</t>
  </si>
  <si>
    <t>Том-Ям</t>
  </si>
  <si>
    <t>Суши-сет</t>
  </si>
  <si>
    <t>Авторское</t>
  </si>
  <si>
    <t>Апероль Спритц</t>
  </si>
  <si>
    <t>Мясная нарезка</t>
  </si>
  <si>
    <t>Френч-сет</t>
  </si>
  <si>
    <t>Рыбный микс</t>
  </si>
  <si>
    <t>Блюдо от шефа</t>
  </si>
  <si>
    <t>Бабл-ти матча</t>
  </si>
  <si>
    <t>Тропический сет</t>
  </si>
  <si>
    <t>Конфи из утки</t>
  </si>
  <si>
    <t>Бургер с трюфелем</t>
  </si>
  <si>
    <t>Бабл-ти анчан</t>
  </si>
  <si>
    <t>Фуа-гра сет</t>
  </si>
  <si>
    <t>Мишлен-фантазия</t>
  </si>
  <si>
    <t>Морская сет</t>
  </si>
  <si>
    <t>Матча латте</t>
  </si>
  <si>
    <t>Супрем-блюдо</t>
  </si>
  <si>
    <t>Десертный сет</t>
  </si>
  <si>
    <t>Панна-котта</t>
  </si>
  <si>
    <t>Новая плита</t>
  </si>
  <si>
    <t>dPc</t>
  </si>
  <si>
    <t>Газовая горелка</t>
  </si>
  <si>
    <t>Доп. касса</t>
  </si>
  <si>
    <t>sPs</t>
  </si>
  <si>
    <t>Проф. духовка</t>
  </si>
  <si>
    <t>dPs</t>
  </si>
  <si>
    <t>Умная касса</t>
  </si>
  <si>
    <t>mPs</t>
  </si>
  <si>
    <t>Современный гриль</t>
  </si>
  <si>
    <t>dM</t>
  </si>
  <si>
    <t>Реклама блюд</t>
  </si>
  <si>
    <t>Качество персонала</t>
  </si>
  <si>
    <t>Быстрый расчет</t>
  </si>
  <si>
    <t>Повышение цен</t>
  </si>
  <si>
    <t>Авто-продажи</t>
  </si>
  <si>
    <t>Экспресс-доставка</t>
  </si>
  <si>
    <t>mM</t>
  </si>
  <si>
    <t>mpM</t>
  </si>
  <si>
    <t>Официант</t>
  </si>
  <si>
    <t>Шеф-повар</t>
  </si>
  <si>
    <t>Фудтрак</t>
  </si>
  <si>
    <t>Маленькое кафе</t>
  </si>
  <si>
    <t>Ресторан</t>
  </si>
  <si>
    <t>Гастро-ресторан</t>
  </si>
  <si>
    <t>Тип улучшения</t>
  </si>
  <si>
    <t>dish</t>
  </si>
  <si>
    <t>equipment</t>
  </si>
  <si>
    <t>global</t>
  </si>
  <si>
    <t>staff</t>
  </si>
  <si>
    <t>point</t>
  </si>
  <si>
    <t>upgrades_values</t>
  </si>
  <si>
    <t xml:space="preserve">SQL </t>
  </si>
  <si>
    <t xml:space="preserve"> boosts_values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</si>
</sst>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4" x14ac:knownFonts="1">
    <font>
      <sz val="12"/>
      <color theme="1"/>
      <name val="Calibri"/>
      <family val="2"/>
      <charset val="204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3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2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vertical="center" wrapText="1"/>
    </xf>
    <xf numFmtId="165" fontId="2" fillId="2" borderId="8" xfId="0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/>
    </xf>
    <xf numFmtId="1" fontId="2" fillId="2" borderId="9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vertical="center" wrapText="1"/>
    </xf>
    <xf numFmtId="165" fontId="2" fillId="3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/>
    </xf>
    <xf numFmtId="1" fontId="2" fillId="3" borderId="4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vertical="center" wrapText="1"/>
    </xf>
    <xf numFmtId="165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/>
    </xf>
    <xf numFmtId="1" fontId="2" fillId="3" borderId="6" xfId="0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vertical="center" wrapText="1"/>
    </xf>
    <xf numFmtId="165" fontId="2" fillId="3" borderId="8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 wrapText="1"/>
    </xf>
    <xf numFmtId="164" fontId="2" fillId="3" borderId="8" xfId="0" applyNumberFormat="1" applyFont="1" applyFill="1" applyBorder="1" applyAlignment="1">
      <alignment horizontal="center"/>
    </xf>
    <xf numFmtId="1" fontId="2" fillId="3" borderId="9" xfId="0" applyNumberFormat="1" applyFont="1" applyFill="1" applyBorder="1" applyAlignment="1">
      <alignment horizontal="center"/>
    </xf>
    <xf numFmtId="0" fontId="1" fillId="2" borderId="2" xfId="0" applyFont="1" applyFill="1" applyBorder="1"/>
    <xf numFmtId="3" fontId="2" fillId="2" borderId="3" xfId="0" applyNumberFormat="1" applyFont="1" applyFill="1" applyBorder="1" applyAlignment="1">
      <alignment horizontal="left"/>
    </xf>
    <xf numFmtId="3" fontId="2" fillId="2" borderId="8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vertical="center" wrapText="1"/>
    </xf>
    <xf numFmtId="3" fontId="2" fillId="4" borderId="3" xfId="0" applyNumberFormat="1" applyFont="1" applyFill="1" applyBorder="1" applyAlignment="1">
      <alignment horizontal="left" vertical="center" wrapText="1"/>
    </xf>
    <xf numFmtId="165" fontId="2" fillId="4" borderId="3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 wrapText="1"/>
    </xf>
    <xf numFmtId="164" fontId="2" fillId="4" borderId="3" xfId="0" applyNumberFormat="1" applyFont="1" applyFill="1" applyBorder="1" applyAlignment="1">
      <alignment horizontal="center"/>
    </xf>
    <xf numFmtId="0" fontId="1" fillId="4" borderId="5" xfId="0" applyFont="1" applyFill="1" applyBorder="1" applyAlignment="1">
      <alignment vertical="center" wrapText="1"/>
    </xf>
    <xf numFmtId="3" fontId="2" fillId="4" borderId="1" xfId="0" applyNumberFormat="1" applyFont="1" applyFill="1" applyBorder="1" applyAlignment="1">
      <alignment horizontal="left" vertical="center" wrapText="1"/>
    </xf>
    <xf numFmtId="165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vertical="center" wrapText="1"/>
    </xf>
    <xf numFmtId="165" fontId="2" fillId="4" borderId="8" xfId="0" applyNumberFormat="1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164" fontId="2" fillId="4" borderId="8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vertical="center" wrapText="1"/>
    </xf>
    <xf numFmtId="3" fontId="2" fillId="5" borderId="3" xfId="0" applyNumberFormat="1" applyFont="1" applyFill="1" applyBorder="1" applyAlignment="1">
      <alignment horizontal="left" vertical="center" wrapText="1"/>
    </xf>
    <xf numFmtId="165" fontId="2" fillId="5" borderId="3" xfId="0" applyNumberFormat="1" applyFont="1" applyFill="1" applyBorder="1" applyAlignment="1">
      <alignment horizontal="center" vertical="center" wrapText="1"/>
    </xf>
    <xf numFmtId="49" fontId="2" fillId="5" borderId="3" xfId="0" applyNumberFormat="1" applyFont="1" applyFill="1" applyBorder="1" applyAlignment="1">
      <alignment horizontal="center" vertical="center" wrapText="1"/>
    </xf>
    <xf numFmtId="164" fontId="2" fillId="5" borderId="3" xfId="0" applyNumberFormat="1" applyFont="1" applyFill="1" applyBorder="1" applyAlignment="1">
      <alignment horizontal="center" vertical="center" wrapText="1"/>
    </xf>
    <xf numFmtId="1" fontId="2" fillId="5" borderId="4" xfId="0" applyNumberFormat="1" applyFont="1" applyFill="1" applyBorder="1" applyAlignment="1">
      <alignment horizontal="center" vertical="center" wrapText="1"/>
    </xf>
    <xf numFmtId="49" fontId="1" fillId="5" borderId="5" xfId="0" applyNumberFormat="1" applyFont="1" applyFill="1" applyBorder="1" applyAlignment="1">
      <alignment vertical="center" wrapText="1"/>
    </xf>
    <xf numFmtId="3" fontId="2" fillId="5" borderId="1" xfId="0" applyNumberFormat="1" applyFont="1" applyFill="1" applyBorder="1" applyAlignment="1">
      <alignment horizontal="left" vertical="center" wrapText="1"/>
    </xf>
    <xf numFmtId="165" fontId="2" fillId="5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1" fontId="2" fillId="5" borderId="6" xfId="0" applyNumberFormat="1" applyFont="1" applyFill="1" applyBorder="1" applyAlignment="1">
      <alignment horizontal="center" vertical="center" wrapText="1"/>
    </xf>
    <xf numFmtId="49" fontId="1" fillId="5" borderId="7" xfId="0" applyNumberFormat="1" applyFont="1" applyFill="1" applyBorder="1" applyAlignment="1">
      <alignment vertical="center" wrapText="1"/>
    </xf>
    <xf numFmtId="3" fontId="2" fillId="5" borderId="8" xfId="0" applyNumberFormat="1" applyFont="1" applyFill="1" applyBorder="1" applyAlignment="1">
      <alignment horizontal="left" vertical="center" wrapText="1"/>
    </xf>
    <xf numFmtId="165" fontId="2" fillId="5" borderId="8" xfId="0" applyNumberFormat="1" applyFont="1" applyFill="1" applyBorder="1" applyAlignment="1">
      <alignment horizontal="center" vertical="center" wrapText="1"/>
    </xf>
    <xf numFmtId="49" fontId="2" fillId="5" borderId="8" xfId="0" applyNumberFormat="1" applyFont="1" applyFill="1" applyBorder="1" applyAlignment="1">
      <alignment horizontal="center" vertical="center" wrapText="1"/>
    </xf>
    <xf numFmtId="164" fontId="2" fillId="5" borderId="8" xfId="0" applyNumberFormat="1" applyFont="1" applyFill="1" applyBorder="1" applyAlignment="1">
      <alignment horizontal="center" vertical="center" wrapText="1"/>
    </xf>
    <xf numFmtId="1" fontId="2" fillId="5" borderId="9" xfId="0" applyNumberFormat="1" applyFont="1" applyFill="1" applyBorder="1" applyAlignment="1">
      <alignment horizontal="center" vertical="center" wrapText="1"/>
    </xf>
    <xf numFmtId="165" fontId="2" fillId="6" borderId="3" xfId="0" applyNumberFormat="1" applyFont="1" applyFill="1" applyBorder="1" applyAlignment="1">
      <alignment horizontal="center" vertical="center" wrapText="1"/>
    </xf>
    <xf numFmtId="49" fontId="2" fillId="6" borderId="3" xfId="0" applyNumberFormat="1" applyFont="1" applyFill="1" applyBorder="1" applyAlignment="1">
      <alignment horizontal="center" vertical="center" wrapText="1"/>
    </xf>
    <xf numFmtId="164" fontId="2" fillId="6" borderId="3" xfId="0" applyNumberFormat="1" applyFont="1" applyFill="1" applyBorder="1" applyAlignment="1">
      <alignment horizontal="center" vertical="center" wrapText="1"/>
    </xf>
    <xf numFmtId="1" fontId="2" fillId="6" borderId="4" xfId="0" applyNumberFormat="1" applyFont="1" applyFill="1" applyBorder="1" applyAlignment="1">
      <alignment horizontal="center" vertical="center" wrapText="1"/>
    </xf>
    <xf numFmtId="165" fontId="2" fillId="6" borderId="1" xfId="0" applyNumberFormat="1" applyFon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1" fontId="2" fillId="6" borderId="6" xfId="0" applyNumberFormat="1" applyFont="1" applyFill="1" applyBorder="1" applyAlignment="1">
      <alignment horizontal="center" vertical="center" wrapText="1"/>
    </xf>
    <xf numFmtId="49" fontId="1" fillId="6" borderId="7" xfId="0" applyNumberFormat="1" applyFont="1" applyFill="1" applyBorder="1" applyAlignment="1">
      <alignment vertical="center" wrapText="1"/>
    </xf>
    <xf numFmtId="3" fontId="2" fillId="6" borderId="8" xfId="0" applyNumberFormat="1" applyFont="1" applyFill="1" applyBorder="1" applyAlignment="1">
      <alignment horizontal="left" vertical="center" wrapText="1"/>
    </xf>
    <xf numFmtId="165" fontId="2" fillId="6" borderId="8" xfId="0" applyNumberFormat="1" applyFont="1" applyFill="1" applyBorder="1" applyAlignment="1">
      <alignment horizontal="center" vertical="center" wrapText="1"/>
    </xf>
    <xf numFmtId="49" fontId="2" fillId="6" borderId="8" xfId="0" applyNumberFormat="1" applyFont="1" applyFill="1" applyBorder="1" applyAlignment="1">
      <alignment horizontal="center" vertical="center" wrapText="1"/>
    </xf>
    <xf numFmtId="164" fontId="2" fillId="6" borderId="8" xfId="0" applyNumberFormat="1" applyFont="1" applyFill="1" applyBorder="1" applyAlignment="1">
      <alignment horizontal="center" vertical="center" wrapText="1"/>
    </xf>
    <xf numFmtId="1" fontId="2" fillId="6" borderId="9" xfId="0" applyNumberFormat="1" applyFont="1" applyFill="1" applyBorder="1" applyAlignment="1">
      <alignment horizontal="center" vertical="center" wrapText="1"/>
    </xf>
    <xf numFmtId="3" fontId="2" fillId="4" borderId="8" xfId="0" applyNumberFormat="1" applyFont="1" applyFill="1" applyBorder="1" applyAlignment="1">
      <alignment horizontal="left" vertical="center" wrapText="1"/>
    </xf>
    <xf numFmtId="3" fontId="2" fillId="3" borderId="3" xfId="0" applyNumberFormat="1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left" vertical="center"/>
    </xf>
    <xf numFmtId="3" fontId="2" fillId="3" borderId="8" xfId="0" applyNumberFormat="1" applyFont="1" applyFill="1" applyBorder="1" applyAlignment="1">
      <alignment horizontal="left" vertical="center"/>
    </xf>
    <xf numFmtId="49" fontId="1" fillId="6" borderId="13" xfId="0" applyNumberFormat="1" applyFont="1" applyFill="1" applyBorder="1" applyAlignment="1">
      <alignment vertical="center" wrapText="1"/>
    </xf>
    <xf numFmtId="49" fontId="1" fillId="6" borderId="14" xfId="0" applyNumberFormat="1" applyFont="1" applyFill="1" applyBorder="1" applyAlignment="1">
      <alignment vertical="center" wrapText="1"/>
    </xf>
    <xf numFmtId="3" fontId="2" fillId="6" borderId="10" xfId="0" applyNumberFormat="1" applyFont="1" applyFill="1" applyBorder="1" applyAlignment="1">
      <alignment horizontal="left" vertical="center" wrapText="1"/>
    </xf>
    <xf numFmtId="3" fontId="2" fillId="6" borderId="11" xfId="0" applyNumberFormat="1" applyFont="1" applyFill="1" applyBorder="1" applyAlignment="1">
      <alignment horizontal="left" vertical="center" wrapText="1"/>
    </xf>
    <xf numFmtId="49" fontId="2" fillId="6" borderId="15" xfId="0" applyNumberFormat="1" applyFont="1" applyFill="1" applyBorder="1" applyAlignment="1">
      <alignment vertical="center" wrapText="1"/>
    </xf>
    <xf numFmtId="49" fontId="2" fillId="6" borderId="1" xfId="0" applyNumberFormat="1" applyFont="1" applyFill="1" applyBorder="1" applyAlignment="1">
      <alignment vertical="center" wrapText="1"/>
    </xf>
    <xf numFmtId="49" fontId="2" fillId="6" borderId="16" xfId="0" applyNumberFormat="1" applyFont="1" applyFill="1" applyBorder="1" applyAlignment="1">
      <alignment vertical="center" wrapText="1"/>
    </xf>
    <xf numFmtId="49" fontId="2" fillId="5" borderId="10" xfId="0" applyNumberFormat="1" applyFont="1" applyFill="1" applyBorder="1" applyAlignment="1">
      <alignment vertical="center" wrapText="1"/>
    </xf>
    <xf numFmtId="49" fontId="2" fillId="5" borderId="11" xfId="0" applyNumberFormat="1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2" borderId="10" xfId="0" applyFont="1" applyFill="1" applyBorder="1"/>
    <xf numFmtId="0" fontId="2" fillId="2" borderId="12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vertical="center" wrapText="1"/>
    </xf>
    <xf numFmtId="0" fontId="0" fillId="0" borderId="0" xfId="0" applyAlignment="1">
      <alignment shrinkToFit="1"/>
    </xf>
    <xf numFmtId="0" fontId="0" fillId="0" borderId="18" xfId="0" applyBorder="1" applyAlignment="1">
      <alignment shrinkToFit="1"/>
    </xf>
    <xf numFmtId="0" fontId="0" fillId="0" borderId="19" xfId="0" applyBorder="1"/>
    <xf numFmtId="0" fontId="3" fillId="0" borderId="22" xfId="0" applyFont="1" applyBorder="1" applyAlignment="1">
      <alignment horizontal="center" vertical="center" shrinkToFit="1"/>
    </xf>
    <xf numFmtId="0" fontId="3" fillId="0" borderId="23" xfId="0" applyFont="1" applyBorder="1" applyAlignment="1">
      <alignment horizontal="center" vertical="center" shrinkToFit="1"/>
    </xf>
    <xf numFmtId="1" fontId="2" fillId="4" borderId="4" xfId="0" applyNumberFormat="1" applyFont="1" applyFill="1" applyBorder="1" applyAlignment="1">
      <alignment horizontal="center" vertical="center" wrapText="1"/>
    </xf>
    <xf numFmtId="1" fontId="2" fillId="4" borderId="6" xfId="0" applyNumberFormat="1" applyFont="1" applyFill="1" applyBorder="1" applyAlignment="1">
      <alignment horizontal="center" vertical="center" wrapText="1"/>
    </xf>
    <xf numFmtId="1" fontId="2" fillId="4" borderId="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20FD3-94E8-A340-80E4-BB04100A4652}">
  <dimension ref="A1:J80"/>
  <sheetViews>
    <sheetView tabSelected="1" workbookViewId="0">
      <selection activeCell="H14" sqref="H14"/>
    </sheetView>
  </sheetViews>
  <sheetFormatPr baseColWidth="10" defaultRowHeight="16" x14ac:dyDescent="0.2"/>
  <cols>
    <col min="1" max="2" width="20.5" customWidth="1"/>
    <col min="3" max="3" width="16.33203125" style="1" bestFit="1" customWidth="1"/>
    <col min="4" max="4" width="8.1640625" style="2" bestFit="1" customWidth="1"/>
    <col min="5" max="5" width="7.1640625" style="5" bestFit="1" customWidth="1"/>
    <col min="6" max="6" width="15.33203125" style="3" customWidth="1"/>
    <col min="7" max="7" width="9.6640625" style="4" bestFit="1" customWidth="1"/>
    <col min="9" max="9" width="50.1640625" style="99" bestFit="1" customWidth="1"/>
    <col min="10" max="10" width="39.33203125" bestFit="1" customWidth="1"/>
  </cols>
  <sheetData>
    <row r="1" spans="1:10" ht="21" x14ac:dyDescent="0.2">
      <c r="A1" s="107" t="s">
        <v>1</v>
      </c>
      <c r="B1" s="107" t="s">
        <v>92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  <c r="I1" s="109" t="s">
        <v>99</v>
      </c>
      <c r="J1" s="110"/>
    </row>
    <row r="2" spans="1:10" ht="22" thickBot="1" x14ac:dyDescent="0.25">
      <c r="A2" s="108"/>
      <c r="B2" s="108"/>
      <c r="C2" s="108"/>
      <c r="D2" s="108"/>
      <c r="E2" s="108"/>
      <c r="F2" s="108"/>
      <c r="G2" s="108"/>
      <c r="I2" s="102" t="s">
        <v>98</v>
      </c>
      <c r="J2" s="103" t="s">
        <v>100</v>
      </c>
    </row>
    <row r="3" spans="1:10" ht="17" x14ac:dyDescent="0.2">
      <c r="A3" s="83" t="s">
        <v>0</v>
      </c>
      <c r="B3" s="89" t="s">
        <v>93</v>
      </c>
      <c r="C3" s="85">
        <v>0</v>
      </c>
      <c r="D3" s="65">
        <v>1</v>
      </c>
      <c r="E3" s="66" t="s">
        <v>7</v>
      </c>
      <c r="F3" s="67">
        <v>1</v>
      </c>
      <c r="G3" s="68">
        <v>0</v>
      </c>
      <c r="I3" s="100" t="str">
        <f>"('" &amp; A3 &amp; "','" &amp; B3 &amp; "'," &amp; C3 &amp; "," &amp; G3 &amp; "," &amp; SUBSTITUTE(F3,",",".") &amp; "),"</f>
        <v>('Сэндвич','dish',0,0,1),</v>
      </c>
      <c r="J3" s="101" t="str">
        <f>"('" &amp; A3 &amp; "','" &amp; B3 &amp; "','" &amp; E3 &amp; "'," &amp; SUBSTITUTE(D3,",",".") &amp; "),"</f>
        <v>('Сэндвич','dish','mPc',1),</v>
      </c>
    </row>
    <row r="4" spans="1:10" ht="17" x14ac:dyDescent="0.2">
      <c r="A4" s="84" t="s">
        <v>8</v>
      </c>
      <c r="B4" s="88" t="s">
        <v>93</v>
      </c>
      <c r="C4" s="86">
        <v>25</v>
      </c>
      <c r="D4" s="69">
        <v>1</v>
      </c>
      <c r="E4" s="70" t="s">
        <v>7</v>
      </c>
      <c r="F4" s="71">
        <v>1</v>
      </c>
      <c r="G4" s="72">
        <v>0</v>
      </c>
      <c r="I4" s="100" t="str">
        <f t="shared" ref="I4:I67" si="0">"('" &amp; A4 &amp; "','" &amp; B4 &amp; "'," &amp; C4 &amp; "," &amp; G4 &amp; "," &amp; SUBSTITUTE(F4,",",".") &amp; "),"</f>
        <v>('Газировка','dish',25,0,1),</v>
      </c>
      <c r="J4" s="101" t="str">
        <f t="shared" ref="J4:J67" si="1">"('" &amp; A4 &amp; "','" &amp; B4 &amp; "','" &amp; E4 &amp; "'," &amp; SUBSTITUTE(D4,",",".") &amp; "),"</f>
        <v>('Газировка','dish','mPc',1),</v>
      </c>
    </row>
    <row r="5" spans="1:10" ht="17" x14ac:dyDescent="0.2">
      <c r="A5" s="84" t="s">
        <v>9</v>
      </c>
      <c r="B5" s="88" t="s">
        <v>93</v>
      </c>
      <c r="C5" s="86">
        <v>40</v>
      </c>
      <c r="D5" s="69">
        <v>1</v>
      </c>
      <c r="E5" s="70" t="s">
        <v>7</v>
      </c>
      <c r="F5" s="71">
        <v>1</v>
      </c>
      <c r="G5" s="72">
        <v>0</v>
      </c>
      <c r="I5" s="100" t="str">
        <f t="shared" si="0"/>
        <v>('Картошка фри','dish',40,0,1),</v>
      </c>
      <c r="J5" s="101" t="str">
        <f t="shared" si="1"/>
        <v>('Картошка фри','dish','mPc',1),</v>
      </c>
    </row>
    <row r="6" spans="1:10" ht="17" x14ac:dyDescent="0.2">
      <c r="A6" s="84" t="s">
        <v>10</v>
      </c>
      <c r="B6" s="88" t="s">
        <v>93</v>
      </c>
      <c r="C6" s="86">
        <v>60</v>
      </c>
      <c r="D6" s="69">
        <v>1</v>
      </c>
      <c r="E6" s="70" t="s">
        <v>7</v>
      </c>
      <c r="F6" s="71">
        <v>1</v>
      </c>
      <c r="G6" s="72">
        <v>1</v>
      </c>
      <c r="I6" s="100" t="str">
        <f t="shared" si="0"/>
        <v>('Наггетсы','dish',60,1,1),</v>
      </c>
      <c r="J6" s="101" t="str">
        <f t="shared" si="1"/>
        <v>('Наггетсы','dish','mPc',1),</v>
      </c>
    </row>
    <row r="7" spans="1:10" ht="17" x14ac:dyDescent="0.2">
      <c r="A7" s="84" t="s">
        <v>11</v>
      </c>
      <c r="B7" s="88" t="s">
        <v>93</v>
      </c>
      <c r="C7" s="86">
        <v>90</v>
      </c>
      <c r="D7" s="69">
        <v>1</v>
      </c>
      <c r="E7" s="70" t="s">
        <v>7</v>
      </c>
      <c r="F7" s="71">
        <v>1</v>
      </c>
      <c r="G7" s="72">
        <v>1</v>
      </c>
      <c r="I7" s="100" t="str">
        <f t="shared" si="0"/>
        <v>('Гамбургер','dish',90,1,1),</v>
      </c>
      <c r="J7" s="101" t="str">
        <f t="shared" si="1"/>
        <v>('Гамбургер','dish','mPc',1),</v>
      </c>
    </row>
    <row r="8" spans="1:10" ht="17" x14ac:dyDescent="0.2">
      <c r="A8" s="84" t="s">
        <v>12</v>
      </c>
      <c r="B8" s="88" t="s">
        <v>93</v>
      </c>
      <c r="C8" s="86">
        <v>130</v>
      </c>
      <c r="D8" s="69">
        <v>1</v>
      </c>
      <c r="E8" s="70" t="s">
        <v>7</v>
      </c>
      <c r="F8" s="71">
        <v>1</v>
      </c>
      <c r="G8" s="72">
        <v>1</v>
      </c>
      <c r="I8" s="100" t="str">
        <f t="shared" si="0"/>
        <v>('Картоф. дольки ','dish',130,1,1),</v>
      </c>
      <c r="J8" s="101" t="str">
        <f t="shared" si="1"/>
        <v>('Картоф. дольки ','dish','mPc',1),</v>
      </c>
    </row>
    <row r="9" spans="1:10" ht="17" x14ac:dyDescent="0.2">
      <c r="A9" s="84" t="s">
        <v>13</v>
      </c>
      <c r="B9" s="88" t="s">
        <v>93</v>
      </c>
      <c r="C9" s="86">
        <v>200</v>
      </c>
      <c r="D9" s="69">
        <v>1</v>
      </c>
      <c r="E9" s="70" t="s">
        <v>7</v>
      </c>
      <c r="F9" s="71">
        <v>1</v>
      </c>
      <c r="G9" s="72">
        <v>2</v>
      </c>
      <c r="I9" s="100" t="str">
        <f t="shared" si="0"/>
        <v>('Хот-дог','dish',200,2,1),</v>
      </c>
      <c r="J9" s="101" t="str">
        <f t="shared" si="1"/>
        <v>('Хот-дог','dish','mPc',1),</v>
      </c>
    </row>
    <row r="10" spans="1:10" ht="17" x14ac:dyDescent="0.2">
      <c r="A10" s="84" t="s">
        <v>14</v>
      </c>
      <c r="B10" s="88" t="s">
        <v>93</v>
      </c>
      <c r="C10" s="86">
        <v>320</v>
      </c>
      <c r="D10" s="69">
        <v>1</v>
      </c>
      <c r="E10" s="70" t="s">
        <v>7</v>
      </c>
      <c r="F10" s="71">
        <v>1</v>
      </c>
      <c r="G10" s="72">
        <v>3</v>
      </c>
      <c r="I10" s="100" t="str">
        <f t="shared" si="0"/>
        <v>('Чизбургер','dish',320,3,1),</v>
      </c>
      <c r="J10" s="101" t="str">
        <f t="shared" si="1"/>
        <v>('Чизбургер','dish','mPc',1),</v>
      </c>
    </row>
    <row r="11" spans="1:10" ht="17" x14ac:dyDescent="0.2">
      <c r="A11" s="84" t="s">
        <v>15</v>
      </c>
      <c r="B11" s="88" t="s">
        <v>93</v>
      </c>
      <c r="C11" s="86">
        <v>500</v>
      </c>
      <c r="D11" s="69">
        <v>1</v>
      </c>
      <c r="E11" s="70" t="s">
        <v>7</v>
      </c>
      <c r="F11" s="71">
        <v>1</v>
      </c>
      <c r="G11" s="72">
        <v>4</v>
      </c>
      <c r="I11" s="100" t="str">
        <f t="shared" si="0"/>
        <v>('Милкшейк клубника','dish',500,4,1),</v>
      </c>
      <c r="J11" s="101" t="str">
        <f t="shared" si="1"/>
        <v>('Милкшейк клубника','dish','mPc',1),</v>
      </c>
    </row>
    <row r="12" spans="1:10" ht="17" x14ac:dyDescent="0.2">
      <c r="A12" s="84" t="s">
        <v>16</v>
      </c>
      <c r="B12" s="88" t="s">
        <v>93</v>
      </c>
      <c r="C12" s="86">
        <v>800</v>
      </c>
      <c r="D12" s="69">
        <v>1</v>
      </c>
      <c r="E12" s="70" t="s">
        <v>7</v>
      </c>
      <c r="F12" s="71">
        <v>1</v>
      </c>
      <c r="G12" s="72">
        <v>5</v>
      </c>
      <c r="I12" s="100" t="str">
        <f t="shared" si="0"/>
        <v>('Тако','dish',800,5,1),</v>
      </c>
      <c r="J12" s="101" t="str">
        <f t="shared" si="1"/>
        <v>('Тако','dish','mPc',1),</v>
      </c>
    </row>
    <row r="13" spans="1:10" ht="17" x14ac:dyDescent="0.2">
      <c r="A13" s="84" t="s">
        <v>17</v>
      </c>
      <c r="B13" s="88" t="s">
        <v>93</v>
      </c>
      <c r="C13" s="86">
        <v>1200</v>
      </c>
      <c r="D13" s="69">
        <v>1</v>
      </c>
      <c r="E13" s="70" t="s">
        <v>7</v>
      </c>
      <c r="F13" s="71">
        <v>1</v>
      </c>
      <c r="G13" s="72">
        <v>5</v>
      </c>
      <c r="I13" s="100" t="str">
        <f t="shared" si="0"/>
        <v>('Панини','dish',1200,5,1),</v>
      </c>
      <c r="J13" s="101" t="str">
        <f t="shared" si="1"/>
        <v>('Панини','dish','mPc',1),</v>
      </c>
    </row>
    <row r="14" spans="1:10" ht="17" x14ac:dyDescent="0.2">
      <c r="A14" s="84" t="s">
        <v>18</v>
      </c>
      <c r="B14" s="88" t="s">
        <v>93</v>
      </c>
      <c r="C14" s="86">
        <v>1800</v>
      </c>
      <c r="D14" s="69">
        <v>2</v>
      </c>
      <c r="E14" s="70" t="s">
        <v>7</v>
      </c>
      <c r="F14" s="71">
        <v>1</v>
      </c>
      <c r="G14" s="72">
        <v>5</v>
      </c>
      <c r="I14" s="100" t="str">
        <f t="shared" si="0"/>
        <v>('Вафля','dish',1800,5,1),</v>
      </c>
      <c r="J14" s="101" t="str">
        <f t="shared" si="1"/>
        <v>('Вафля','dish','mPc',2),</v>
      </c>
    </row>
    <row r="15" spans="1:10" ht="17" x14ac:dyDescent="0.2">
      <c r="A15" s="84" t="s">
        <v>19</v>
      </c>
      <c r="B15" s="88" t="s">
        <v>93</v>
      </c>
      <c r="C15" s="86">
        <v>2600</v>
      </c>
      <c r="D15" s="69">
        <v>2</v>
      </c>
      <c r="E15" s="70" t="s">
        <v>7</v>
      </c>
      <c r="F15" s="71">
        <v>1</v>
      </c>
      <c r="G15" s="72">
        <v>6</v>
      </c>
      <c r="I15" s="100" t="str">
        <f t="shared" si="0"/>
        <v>('Буррито','dish',2600,6,1),</v>
      </c>
      <c r="J15" s="101" t="str">
        <f t="shared" si="1"/>
        <v>('Буррито','dish','mPc',2),</v>
      </c>
    </row>
    <row r="16" spans="1:10" ht="17" x14ac:dyDescent="0.2">
      <c r="A16" s="84" t="s">
        <v>20</v>
      </c>
      <c r="B16" s="88" t="s">
        <v>93</v>
      </c>
      <c r="C16" s="86">
        <v>3800</v>
      </c>
      <c r="D16" s="69">
        <v>2</v>
      </c>
      <c r="E16" s="70" t="s">
        <v>7</v>
      </c>
      <c r="F16" s="71">
        <v>1</v>
      </c>
      <c r="G16" s="72">
        <v>7</v>
      </c>
      <c r="I16" s="100" t="str">
        <f t="shared" si="0"/>
        <v>('Багет','dish',3800,7,1),</v>
      </c>
      <c r="J16" s="101" t="str">
        <f t="shared" si="1"/>
        <v>('Багет','dish','mPc',2),</v>
      </c>
    </row>
    <row r="17" spans="1:10" ht="17" x14ac:dyDescent="0.2">
      <c r="A17" s="84" t="s">
        <v>21</v>
      </c>
      <c r="B17" s="88" t="s">
        <v>93</v>
      </c>
      <c r="C17" s="86">
        <v>5500</v>
      </c>
      <c r="D17" s="69">
        <v>3</v>
      </c>
      <c r="E17" s="70" t="s">
        <v>7</v>
      </c>
      <c r="F17" s="71">
        <v>1</v>
      </c>
      <c r="G17" s="72">
        <v>8</v>
      </c>
      <c r="I17" s="100" t="str">
        <f t="shared" si="0"/>
        <v>('Пончик','dish',5500,8,1),</v>
      </c>
      <c r="J17" s="101" t="str">
        <f t="shared" si="1"/>
        <v>('Пончик','dish','mPc',3),</v>
      </c>
    </row>
    <row r="18" spans="1:10" ht="17" x14ac:dyDescent="0.2">
      <c r="A18" s="84" t="s">
        <v>22</v>
      </c>
      <c r="B18" s="88" t="s">
        <v>93</v>
      </c>
      <c r="C18" s="86">
        <v>8000</v>
      </c>
      <c r="D18" s="69">
        <v>3</v>
      </c>
      <c r="E18" s="70" t="s">
        <v>7</v>
      </c>
      <c r="F18" s="71">
        <v>1</v>
      </c>
      <c r="G18" s="72">
        <v>9</v>
      </c>
      <c r="I18" s="100" t="str">
        <f t="shared" si="0"/>
        <v>('Мороженое','dish',8000,9,1),</v>
      </c>
      <c r="J18" s="101" t="str">
        <f t="shared" si="1"/>
        <v>('Мороженое','dish','mPc',3),</v>
      </c>
    </row>
    <row r="19" spans="1:10" ht="17" x14ac:dyDescent="0.2">
      <c r="A19" s="84" t="s">
        <v>23</v>
      </c>
      <c r="B19" s="88" t="s">
        <v>93</v>
      </c>
      <c r="C19" s="86">
        <v>12000</v>
      </c>
      <c r="D19" s="69">
        <v>4</v>
      </c>
      <c r="E19" s="70" t="s">
        <v>7</v>
      </c>
      <c r="F19" s="71">
        <v>1</v>
      </c>
      <c r="G19" s="72">
        <v>10</v>
      </c>
      <c r="I19" s="100" t="str">
        <f t="shared" si="0"/>
        <v>('Тирамису','dish',12000,10,1),</v>
      </c>
      <c r="J19" s="101" t="str">
        <f t="shared" si="1"/>
        <v>('Тирамису','dish','mPc',4),</v>
      </c>
    </row>
    <row r="20" spans="1:10" ht="17" x14ac:dyDescent="0.2">
      <c r="A20" s="84" t="s">
        <v>24</v>
      </c>
      <c r="B20" s="88" t="s">
        <v>93</v>
      </c>
      <c r="C20" s="86">
        <v>18000</v>
      </c>
      <c r="D20" s="69">
        <v>4</v>
      </c>
      <c r="E20" s="70" t="s">
        <v>7</v>
      </c>
      <c r="F20" s="71">
        <v>1</v>
      </c>
      <c r="G20" s="72">
        <v>10</v>
      </c>
      <c r="I20" s="100" t="str">
        <f t="shared" si="0"/>
        <v>('Милкшейк ваниль','dish',18000,10,1),</v>
      </c>
      <c r="J20" s="101" t="str">
        <f t="shared" si="1"/>
        <v>('Милкшейк ваниль','dish','mPc',4),</v>
      </c>
    </row>
    <row r="21" spans="1:10" ht="17" x14ac:dyDescent="0.2">
      <c r="A21" s="84" t="s">
        <v>25</v>
      </c>
      <c r="B21" s="88" t="s">
        <v>93</v>
      </c>
      <c r="C21" s="86">
        <v>26000</v>
      </c>
      <c r="D21" s="69">
        <v>5</v>
      </c>
      <c r="E21" s="70" t="s">
        <v>7</v>
      </c>
      <c r="F21" s="71">
        <v>1</v>
      </c>
      <c r="G21" s="72">
        <v>10</v>
      </c>
      <c r="I21" s="100" t="str">
        <f t="shared" si="0"/>
        <v>('Круассаны','dish',26000,10,1),</v>
      </c>
      <c r="J21" s="101" t="str">
        <f t="shared" si="1"/>
        <v>('Круассаны','dish','mPc',5),</v>
      </c>
    </row>
    <row r="22" spans="1:10" ht="17" x14ac:dyDescent="0.2">
      <c r="A22" s="84" t="s">
        <v>26</v>
      </c>
      <c r="B22" s="88" t="s">
        <v>93</v>
      </c>
      <c r="C22" s="86">
        <v>38000</v>
      </c>
      <c r="D22" s="69">
        <v>6</v>
      </c>
      <c r="E22" s="70" t="s">
        <v>7</v>
      </c>
      <c r="F22" s="71">
        <v>1</v>
      </c>
      <c r="G22" s="72">
        <v>11</v>
      </c>
      <c r="I22" s="100" t="str">
        <f t="shared" si="0"/>
        <v>('Чизкейк','dish',38000,11,1),</v>
      </c>
      <c r="J22" s="101" t="str">
        <f t="shared" si="1"/>
        <v>('Чизкейк','dish','mPc',6),</v>
      </c>
    </row>
    <row r="23" spans="1:10" ht="17" x14ac:dyDescent="0.2">
      <c r="A23" s="84" t="s">
        <v>27</v>
      </c>
      <c r="B23" s="88" t="s">
        <v>93</v>
      </c>
      <c r="C23" s="86">
        <v>55000</v>
      </c>
      <c r="D23" s="69">
        <v>7</v>
      </c>
      <c r="E23" s="70" t="s">
        <v>7</v>
      </c>
      <c r="F23" s="71">
        <v>1</v>
      </c>
      <c r="G23" s="72">
        <v>12</v>
      </c>
      <c r="I23" s="100" t="str">
        <f t="shared" si="0"/>
        <v>('Сок','dish',55000,12,1),</v>
      </c>
      <c r="J23" s="101" t="str">
        <f t="shared" si="1"/>
        <v>('Сок','dish','mPc',7),</v>
      </c>
    </row>
    <row r="24" spans="1:10" ht="17" x14ac:dyDescent="0.2">
      <c r="A24" s="84" t="s">
        <v>28</v>
      </c>
      <c r="B24" s="88" t="s">
        <v>93</v>
      </c>
      <c r="C24" s="86">
        <v>80000</v>
      </c>
      <c r="D24" s="69">
        <v>8</v>
      </c>
      <c r="E24" s="70" t="s">
        <v>7</v>
      </c>
      <c r="F24" s="71">
        <v>1</v>
      </c>
      <c r="G24" s="72">
        <v>13</v>
      </c>
      <c r="I24" s="100" t="str">
        <f t="shared" si="0"/>
        <v>('Кексы','dish',80000,13,1),</v>
      </c>
      <c r="J24" s="101" t="str">
        <f t="shared" si="1"/>
        <v>('Кексы','dish','mPc',8),</v>
      </c>
    </row>
    <row r="25" spans="1:10" ht="17" x14ac:dyDescent="0.2">
      <c r="A25" s="84" t="s">
        <v>29</v>
      </c>
      <c r="B25" s="88" t="s">
        <v>93</v>
      </c>
      <c r="C25" s="86">
        <v>120000</v>
      </c>
      <c r="D25" s="69">
        <v>9</v>
      </c>
      <c r="E25" s="70" t="s">
        <v>7</v>
      </c>
      <c r="F25" s="71">
        <v>1</v>
      </c>
      <c r="G25" s="72">
        <v>14</v>
      </c>
      <c r="I25" s="100" t="str">
        <f t="shared" si="0"/>
        <v>('Панкейки','dish',120000,14,1),</v>
      </c>
      <c r="J25" s="101" t="str">
        <f t="shared" si="1"/>
        <v>('Панкейки','dish','mPc',9),</v>
      </c>
    </row>
    <row r="26" spans="1:10" ht="17" x14ac:dyDescent="0.2">
      <c r="A26" s="84" t="s">
        <v>30</v>
      </c>
      <c r="B26" s="88" t="s">
        <v>93</v>
      </c>
      <c r="C26" s="86">
        <v>180000</v>
      </c>
      <c r="D26" s="69">
        <v>10</v>
      </c>
      <c r="E26" s="70" t="s">
        <v>7</v>
      </c>
      <c r="F26" s="71">
        <v>1</v>
      </c>
      <c r="G26" s="72">
        <v>15</v>
      </c>
      <c r="I26" s="100" t="str">
        <f t="shared" si="0"/>
        <v>('Американо','dish',180000,15,1),</v>
      </c>
      <c r="J26" s="101" t="str">
        <f t="shared" si="1"/>
        <v>('Американо','dish','mPc',10),</v>
      </c>
    </row>
    <row r="27" spans="1:10" ht="17" x14ac:dyDescent="0.2">
      <c r="A27" s="84" t="s">
        <v>31</v>
      </c>
      <c r="B27" s="88" t="s">
        <v>93</v>
      </c>
      <c r="C27" s="86">
        <v>260000</v>
      </c>
      <c r="D27" s="69">
        <v>11</v>
      </c>
      <c r="E27" s="70" t="s">
        <v>7</v>
      </c>
      <c r="F27" s="71">
        <v>1</v>
      </c>
      <c r="G27" s="72">
        <v>15</v>
      </c>
      <c r="I27" s="100" t="str">
        <f t="shared" si="0"/>
        <v>('Макаруны','dish',260000,15,1),</v>
      </c>
      <c r="J27" s="101" t="str">
        <f t="shared" si="1"/>
        <v>('Макаруны','dish','mPc',11),</v>
      </c>
    </row>
    <row r="28" spans="1:10" ht="17" x14ac:dyDescent="0.2">
      <c r="A28" s="84" t="s">
        <v>32</v>
      </c>
      <c r="B28" s="88" t="s">
        <v>93</v>
      </c>
      <c r="C28" s="86">
        <v>380000</v>
      </c>
      <c r="D28" s="69">
        <v>12</v>
      </c>
      <c r="E28" s="70" t="s">
        <v>7</v>
      </c>
      <c r="F28" s="71">
        <v>1</v>
      </c>
      <c r="G28" s="72">
        <v>15</v>
      </c>
      <c r="I28" s="100" t="str">
        <f t="shared" si="0"/>
        <v>('Капучино','dish',380000,15,1),</v>
      </c>
      <c r="J28" s="101" t="str">
        <f t="shared" si="1"/>
        <v>('Капучино','dish','mPc',12),</v>
      </c>
    </row>
    <row r="29" spans="1:10" ht="17" x14ac:dyDescent="0.2">
      <c r="A29" s="84" t="s">
        <v>33</v>
      </c>
      <c r="B29" s="88" t="s">
        <v>93</v>
      </c>
      <c r="C29" s="86">
        <v>550000</v>
      </c>
      <c r="D29" s="69">
        <v>13</v>
      </c>
      <c r="E29" s="70" t="s">
        <v>7</v>
      </c>
      <c r="F29" s="71">
        <v>1</v>
      </c>
      <c r="G29" s="72">
        <v>16</v>
      </c>
      <c r="I29" s="100" t="str">
        <f t="shared" si="0"/>
        <v>('Морской салат','dish',550000,16,1),</v>
      </c>
      <c r="J29" s="101" t="str">
        <f t="shared" si="1"/>
        <v>('Морской салат','dish','mPc',13),</v>
      </c>
    </row>
    <row r="30" spans="1:10" ht="17" x14ac:dyDescent="0.2">
      <c r="A30" s="84" t="s">
        <v>34</v>
      </c>
      <c r="B30" s="88" t="s">
        <v>93</v>
      </c>
      <c r="C30" s="86">
        <v>800000</v>
      </c>
      <c r="D30" s="69">
        <v>15</v>
      </c>
      <c r="E30" s="70" t="s">
        <v>7</v>
      </c>
      <c r="F30" s="71">
        <v>1</v>
      </c>
      <c r="G30" s="72">
        <v>17</v>
      </c>
      <c r="I30" s="100" t="str">
        <f t="shared" si="0"/>
        <v>('Чай','dish',800000,17,1),</v>
      </c>
      <c r="J30" s="101" t="str">
        <f t="shared" si="1"/>
        <v>('Чай','dish','mPc',15),</v>
      </c>
    </row>
    <row r="31" spans="1:10" ht="17" x14ac:dyDescent="0.2">
      <c r="A31" s="84" t="s">
        <v>35</v>
      </c>
      <c r="B31" s="88" t="s">
        <v>93</v>
      </c>
      <c r="C31" s="86">
        <v>1200000</v>
      </c>
      <c r="D31" s="69">
        <v>16</v>
      </c>
      <c r="E31" s="70" t="s">
        <v>7</v>
      </c>
      <c r="F31" s="71">
        <v>1</v>
      </c>
      <c r="G31" s="72">
        <v>18</v>
      </c>
      <c r="I31" s="100" t="str">
        <f t="shared" si="0"/>
        <v>('Омлет','dish',1200000,18,1),</v>
      </c>
      <c r="J31" s="101" t="str">
        <f t="shared" si="1"/>
        <v>('Омлет','dish','mPc',16),</v>
      </c>
    </row>
    <row r="32" spans="1:10" ht="17" x14ac:dyDescent="0.2">
      <c r="A32" s="84" t="s">
        <v>36</v>
      </c>
      <c r="B32" s="88" t="s">
        <v>93</v>
      </c>
      <c r="C32" s="86">
        <v>1800000</v>
      </c>
      <c r="D32" s="69">
        <v>19</v>
      </c>
      <c r="E32" s="70" t="s">
        <v>7</v>
      </c>
      <c r="F32" s="71">
        <v>1</v>
      </c>
      <c r="G32" s="72">
        <v>19</v>
      </c>
      <c r="I32" s="100" t="str">
        <f t="shared" si="0"/>
        <v>('Клубничный смузи','dish',1800000,19,1),</v>
      </c>
      <c r="J32" s="101" t="str">
        <f t="shared" si="1"/>
        <v>('Клубничный смузи','dish','mPc',19),</v>
      </c>
    </row>
    <row r="33" spans="1:10" ht="17" x14ac:dyDescent="0.2">
      <c r="A33" s="84" t="s">
        <v>37</v>
      </c>
      <c r="B33" s="88" t="s">
        <v>93</v>
      </c>
      <c r="C33" s="86">
        <v>3000000</v>
      </c>
      <c r="D33" s="69">
        <v>21</v>
      </c>
      <c r="E33" s="70" t="s">
        <v>7</v>
      </c>
      <c r="F33" s="71">
        <v>1</v>
      </c>
      <c r="G33" s="72">
        <v>20</v>
      </c>
      <c r="I33" s="100" t="str">
        <f t="shared" si="0"/>
        <v>('Пицца','dish',3000000,20,1),</v>
      </c>
      <c r="J33" s="101" t="str">
        <f t="shared" si="1"/>
        <v>('Пицца','dish','mPc',21),</v>
      </c>
    </row>
    <row r="34" spans="1:10" ht="17" x14ac:dyDescent="0.2">
      <c r="A34" s="84" t="s">
        <v>38</v>
      </c>
      <c r="B34" s="88" t="s">
        <v>93</v>
      </c>
      <c r="C34" s="86">
        <v>4500000</v>
      </c>
      <c r="D34" s="69">
        <v>25</v>
      </c>
      <c r="E34" s="70" t="s">
        <v>7</v>
      </c>
      <c r="F34" s="71">
        <v>1</v>
      </c>
      <c r="G34" s="72">
        <v>20</v>
      </c>
      <c r="I34" s="100" t="str">
        <f t="shared" si="0"/>
        <v>('Ролл с креветкой','dish',4500000,20,1),</v>
      </c>
      <c r="J34" s="101" t="str">
        <f t="shared" si="1"/>
        <v>('Ролл с креветкой','dish','mPc',25),</v>
      </c>
    </row>
    <row r="35" spans="1:10" ht="17" x14ac:dyDescent="0.2">
      <c r="A35" s="84" t="s">
        <v>39</v>
      </c>
      <c r="B35" s="88" t="s">
        <v>93</v>
      </c>
      <c r="C35" s="86">
        <v>6500000</v>
      </c>
      <c r="D35" s="69">
        <v>28</v>
      </c>
      <c r="E35" s="70" t="s">
        <v>7</v>
      </c>
      <c r="F35" s="71">
        <v>1</v>
      </c>
      <c r="G35" s="72">
        <v>20</v>
      </c>
      <c r="I35" s="100" t="str">
        <f t="shared" si="0"/>
        <v>('Палтус','dish',6500000,20,1),</v>
      </c>
      <c r="J35" s="101" t="str">
        <f t="shared" si="1"/>
        <v>('Палтус','dish','mPc',28),</v>
      </c>
    </row>
    <row r="36" spans="1:10" ht="17" x14ac:dyDescent="0.2">
      <c r="A36" s="84" t="s">
        <v>40</v>
      </c>
      <c r="B36" s="88" t="s">
        <v>93</v>
      </c>
      <c r="C36" s="86">
        <v>9500000</v>
      </c>
      <c r="D36" s="69">
        <v>32</v>
      </c>
      <c r="E36" s="70" t="s">
        <v>7</v>
      </c>
      <c r="F36" s="71">
        <v>1</v>
      </c>
      <c r="G36" s="72">
        <v>21</v>
      </c>
      <c r="I36" s="100" t="str">
        <f t="shared" si="0"/>
        <v>('Мохито','dish',9500000,21,1),</v>
      </c>
      <c r="J36" s="101" t="str">
        <f t="shared" si="1"/>
        <v>('Мохито','dish','mPc',32),</v>
      </c>
    </row>
    <row r="37" spans="1:10" ht="17" x14ac:dyDescent="0.2">
      <c r="A37" s="84" t="s">
        <v>41</v>
      </c>
      <c r="B37" s="88" t="s">
        <v>93</v>
      </c>
      <c r="C37" s="86">
        <v>14000000</v>
      </c>
      <c r="D37" s="69">
        <v>36</v>
      </c>
      <c r="E37" s="70" t="s">
        <v>7</v>
      </c>
      <c r="F37" s="71">
        <v>1</v>
      </c>
      <c r="G37" s="72">
        <v>22</v>
      </c>
      <c r="I37" s="100" t="str">
        <f t="shared" si="0"/>
        <v>('Спагетти','dish',14000000,22,1),</v>
      </c>
      <c r="J37" s="101" t="str">
        <f t="shared" si="1"/>
        <v>('Спагетти','dish','mPc',36),</v>
      </c>
    </row>
    <row r="38" spans="1:10" ht="17" x14ac:dyDescent="0.2">
      <c r="A38" s="84" t="s">
        <v>42</v>
      </c>
      <c r="B38" s="88" t="s">
        <v>93</v>
      </c>
      <c r="C38" s="86">
        <v>20000000</v>
      </c>
      <c r="D38" s="69">
        <v>17</v>
      </c>
      <c r="E38" s="70" t="s">
        <v>7</v>
      </c>
      <c r="F38" s="71">
        <v>1</v>
      </c>
      <c r="G38" s="72">
        <v>23</v>
      </c>
      <c r="I38" s="100" t="str">
        <f t="shared" si="0"/>
        <v>('Суфле','dish',20000000,23,1),</v>
      </c>
      <c r="J38" s="101" t="str">
        <f t="shared" si="1"/>
        <v>('Суфле','dish','mPc',17),</v>
      </c>
    </row>
    <row r="39" spans="1:10" ht="17" x14ac:dyDescent="0.2">
      <c r="A39" s="84" t="s">
        <v>43</v>
      </c>
      <c r="B39" s="88" t="s">
        <v>93</v>
      </c>
      <c r="C39" s="86">
        <v>30000000</v>
      </c>
      <c r="D39" s="69">
        <v>20</v>
      </c>
      <c r="E39" s="70" t="s">
        <v>7</v>
      </c>
      <c r="F39" s="71">
        <v>1</v>
      </c>
      <c r="G39" s="72">
        <v>24</v>
      </c>
      <c r="I39" s="100" t="str">
        <f t="shared" si="0"/>
        <v>('Вино','dish',30000000,24,1),</v>
      </c>
      <c r="J39" s="101" t="str">
        <f t="shared" si="1"/>
        <v>('Вино','dish','mPc',20),</v>
      </c>
    </row>
    <row r="40" spans="1:10" ht="17" x14ac:dyDescent="0.2">
      <c r="A40" s="84" t="s">
        <v>44</v>
      </c>
      <c r="B40" s="88" t="s">
        <v>93</v>
      </c>
      <c r="C40" s="86">
        <v>45000000</v>
      </c>
      <c r="D40" s="69">
        <v>23</v>
      </c>
      <c r="E40" s="70" t="s">
        <v>7</v>
      </c>
      <c r="F40" s="71">
        <v>1</v>
      </c>
      <c r="G40" s="72">
        <v>25</v>
      </c>
      <c r="I40" s="100" t="str">
        <f t="shared" si="0"/>
        <v>('Рамен','dish',45000000,25,1),</v>
      </c>
      <c r="J40" s="101" t="str">
        <f t="shared" si="1"/>
        <v>('Рамен','dish','mPc',23),</v>
      </c>
    </row>
    <row r="41" spans="1:10" ht="17" x14ac:dyDescent="0.2">
      <c r="A41" s="84" t="s">
        <v>45</v>
      </c>
      <c r="B41" s="88" t="s">
        <v>93</v>
      </c>
      <c r="C41" s="86">
        <v>70000000</v>
      </c>
      <c r="D41" s="69">
        <v>26</v>
      </c>
      <c r="E41" s="70" t="s">
        <v>7</v>
      </c>
      <c r="F41" s="71">
        <v>1</v>
      </c>
      <c r="G41" s="72">
        <v>26</v>
      </c>
      <c r="I41" s="100" t="str">
        <f t="shared" si="0"/>
        <v>('Стейк','dish',70000000,26,1),</v>
      </c>
      <c r="J41" s="101" t="str">
        <f t="shared" si="1"/>
        <v>('Стейк','dish','mPc',26),</v>
      </c>
    </row>
    <row r="42" spans="1:10" ht="17" x14ac:dyDescent="0.2">
      <c r="A42" s="84" t="s">
        <v>46</v>
      </c>
      <c r="B42" s="88" t="s">
        <v>93</v>
      </c>
      <c r="C42" s="86">
        <v>110000000</v>
      </c>
      <c r="D42" s="69">
        <v>32</v>
      </c>
      <c r="E42" s="70" t="s">
        <v>7</v>
      </c>
      <c r="F42" s="71">
        <v>1</v>
      </c>
      <c r="G42" s="72">
        <v>27</v>
      </c>
      <c r="I42" s="100" t="str">
        <f t="shared" si="0"/>
        <v>('Дракон-ролл','dish',110000000,27,1),</v>
      </c>
      <c r="J42" s="101" t="str">
        <f t="shared" si="1"/>
        <v>('Дракон-ролл','dish','mPc',32),</v>
      </c>
    </row>
    <row r="43" spans="1:10" ht="17" x14ac:dyDescent="0.2">
      <c r="A43" s="84" t="s">
        <v>47</v>
      </c>
      <c r="B43" s="88" t="s">
        <v>93</v>
      </c>
      <c r="C43" s="86">
        <v>170000000</v>
      </c>
      <c r="D43" s="69">
        <v>38</v>
      </c>
      <c r="E43" s="70" t="s">
        <v>7</v>
      </c>
      <c r="F43" s="71">
        <v>1</v>
      </c>
      <c r="G43" s="72">
        <v>28</v>
      </c>
      <c r="I43" s="100" t="str">
        <f t="shared" si="0"/>
        <v>('Том-Ям','dish',170000000,28,1),</v>
      </c>
      <c r="J43" s="101" t="str">
        <f t="shared" si="1"/>
        <v>('Том-Ям','dish','mPc',38),</v>
      </c>
    </row>
    <row r="44" spans="1:10" ht="17" x14ac:dyDescent="0.2">
      <c r="A44" s="84" t="s">
        <v>48</v>
      </c>
      <c r="B44" s="88" t="s">
        <v>93</v>
      </c>
      <c r="C44" s="86">
        <v>260000000</v>
      </c>
      <c r="D44" s="69">
        <v>46</v>
      </c>
      <c r="E44" s="70" t="s">
        <v>7</v>
      </c>
      <c r="F44" s="71">
        <v>1</v>
      </c>
      <c r="G44" s="72">
        <v>29</v>
      </c>
      <c r="I44" s="100" t="str">
        <f t="shared" si="0"/>
        <v>('Суши-сет','dish',260000000,29,1),</v>
      </c>
      <c r="J44" s="101" t="str">
        <f t="shared" si="1"/>
        <v>('Суши-сет','dish','mPc',46),</v>
      </c>
    </row>
    <row r="45" spans="1:10" ht="17" x14ac:dyDescent="0.2">
      <c r="A45" s="84" t="s">
        <v>49</v>
      </c>
      <c r="B45" s="88" t="s">
        <v>93</v>
      </c>
      <c r="C45" s="86">
        <v>400000000</v>
      </c>
      <c r="D45" s="69">
        <v>56</v>
      </c>
      <c r="E45" s="70" t="s">
        <v>7</v>
      </c>
      <c r="F45" s="71">
        <v>1</v>
      </c>
      <c r="G45" s="72">
        <v>30</v>
      </c>
      <c r="I45" s="100" t="str">
        <f t="shared" si="0"/>
        <v>('Авторское','dish',400000000,30,1),</v>
      </c>
      <c r="J45" s="101" t="str">
        <f t="shared" si="1"/>
        <v>('Авторское','dish','mPc',56),</v>
      </c>
    </row>
    <row r="46" spans="1:10" ht="17" x14ac:dyDescent="0.2">
      <c r="A46" s="84" t="s">
        <v>50</v>
      </c>
      <c r="B46" s="88" t="s">
        <v>93</v>
      </c>
      <c r="C46" s="86">
        <v>600000000</v>
      </c>
      <c r="D46" s="69">
        <v>67</v>
      </c>
      <c r="E46" s="70" t="s">
        <v>7</v>
      </c>
      <c r="F46" s="71">
        <v>1</v>
      </c>
      <c r="G46" s="72">
        <v>30</v>
      </c>
      <c r="I46" s="100" t="str">
        <f t="shared" si="0"/>
        <v>('Апероль Спритц','dish',600000000,30,1),</v>
      </c>
      <c r="J46" s="101" t="str">
        <f t="shared" si="1"/>
        <v>('Апероль Спритц','dish','mPc',67),</v>
      </c>
    </row>
    <row r="47" spans="1:10" ht="17" x14ac:dyDescent="0.2">
      <c r="A47" s="84" t="s">
        <v>51</v>
      </c>
      <c r="B47" s="88" t="s">
        <v>93</v>
      </c>
      <c r="C47" s="86">
        <v>900000000</v>
      </c>
      <c r="D47" s="69">
        <v>79</v>
      </c>
      <c r="E47" s="70" t="s">
        <v>7</v>
      </c>
      <c r="F47" s="71">
        <v>1</v>
      </c>
      <c r="G47" s="72">
        <v>30</v>
      </c>
      <c r="I47" s="100" t="str">
        <f t="shared" si="0"/>
        <v>('Мясная нарезка','dish',900000000,30,1),</v>
      </c>
      <c r="J47" s="101" t="str">
        <f t="shared" si="1"/>
        <v>('Мясная нарезка','dish','mPc',79),</v>
      </c>
    </row>
    <row r="48" spans="1:10" ht="17" x14ac:dyDescent="0.2">
      <c r="A48" s="84" t="s">
        <v>52</v>
      </c>
      <c r="B48" s="88" t="s">
        <v>93</v>
      </c>
      <c r="C48" s="86">
        <v>1400000000</v>
      </c>
      <c r="D48" s="69">
        <v>95</v>
      </c>
      <c r="E48" s="70" t="s">
        <v>7</v>
      </c>
      <c r="F48" s="71">
        <v>1</v>
      </c>
      <c r="G48" s="72">
        <v>35</v>
      </c>
      <c r="I48" s="100" t="str">
        <f t="shared" si="0"/>
        <v>('Френч-сет','dish',1400000000,35,1),</v>
      </c>
      <c r="J48" s="101" t="str">
        <f t="shared" si="1"/>
        <v>('Френч-сет','dish','mPc',95),</v>
      </c>
    </row>
    <row r="49" spans="1:10" ht="17" x14ac:dyDescent="0.2">
      <c r="A49" s="84" t="s">
        <v>53</v>
      </c>
      <c r="B49" s="88" t="s">
        <v>93</v>
      </c>
      <c r="C49" s="86">
        <v>2200000000</v>
      </c>
      <c r="D49" s="69">
        <v>115</v>
      </c>
      <c r="E49" s="70" t="s">
        <v>7</v>
      </c>
      <c r="F49" s="71">
        <v>1</v>
      </c>
      <c r="G49" s="72">
        <v>40</v>
      </c>
      <c r="I49" s="100" t="str">
        <f t="shared" si="0"/>
        <v>('Рыбный микс','dish',2200000000,40,1),</v>
      </c>
      <c r="J49" s="101" t="str">
        <f t="shared" si="1"/>
        <v>('Рыбный микс','dish','mPc',115),</v>
      </c>
    </row>
    <row r="50" spans="1:10" ht="17" x14ac:dyDescent="0.2">
      <c r="A50" s="84" t="s">
        <v>54</v>
      </c>
      <c r="B50" s="88" t="s">
        <v>93</v>
      </c>
      <c r="C50" s="86">
        <v>3500000000</v>
      </c>
      <c r="D50" s="69">
        <v>139</v>
      </c>
      <c r="E50" s="70" t="s">
        <v>7</v>
      </c>
      <c r="F50" s="71">
        <v>1</v>
      </c>
      <c r="G50" s="72">
        <v>40</v>
      </c>
      <c r="I50" s="100" t="str">
        <f t="shared" si="0"/>
        <v>('Блюдо от шефа','dish',3500000000,40,1),</v>
      </c>
      <c r="J50" s="101" t="str">
        <f t="shared" si="1"/>
        <v>('Блюдо от шефа','dish','mPc',139),</v>
      </c>
    </row>
    <row r="51" spans="1:10" ht="17" x14ac:dyDescent="0.2">
      <c r="A51" s="84" t="s">
        <v>55</v>
      </c>
      <c r="B51" s="88" t="s">
        <v>93</v>
      </c>
      <c r="C51" s="86">
        <v>5500000000</v>
      </c>
      <c r="D51" s="69">
        <v>170</v>
      </c>
      <c r="E51" s="70" t="s">
        <v>7</v>
      </c>
      <c r="F51" s="71">
        <v>1</v>
      </c>
      <c r="G51" s="72">
        <v>40</v>
      </c>
      <c r="I51" s="100" t="str">
        <f t="shared" si="0"/>
        <v>('Бабл-ти матча','dish',5500000000,40,1),</v>
      </c>
      <c r="J51" s="101" t="str">
        <f t="shared" si="1"/>
        <v>('Бабл-ти матча','dish','mPc',170),</v>
      </c>
    </row>
    <row r="52" spans="1:10" ht="17" x14ac:dyDescent="0.2">
      <c r="A52" s="84" t="s">
        <v>56</v>
      </c>
      <c r="B52" s="88" t="s">
        <v>93</v>
      </c>
      <c r="C52" s="86">
        <v>8500000000</v>
      </c>
      <c r="D52" s="69">
        <v>206</v>
      </c>
      <c r="E52" s="70" t="s">
        <v>7</v>
      </c>
      <c r="F52" s="71">
        <v>1</v>
      </c>
      <c r="G52" s="72">
        <v>45</v>
      </c>
      <c r="I52" s="100" t="str">
        <f t="shared" si="0"/>
        <v>('Тропический сет','dish',8500000000,45,1),</v>
      </c>
      <c r="J52" s="101" t="str">
        <f t="shared" si="1"/>
        <v>('Тропический сет','dish','mPc',206),</v>
      </c>
    </row>
    <row r="53" spans="1:10" ht="17" x14ac:dyDescent="0.2">
      <c r="A53" s="84" t="s">
        <v>57</v>
      </c>
      <c r="B53" s="88" t="s">
        <v>93</v>
      </c>
      <c r="C53" s="86">
        <v>13000000000</v>
      </c>
      <c r="D53" s="69">
        <v>251</v>
      </c>
      <c r="E53" s="70" t="s">
        <v>7</v>
      </c>
      <c r="F53" s="71">
        <v>1</v>
      </c>
      <c r="G53" s="72">
        <v>50</v>
      </c>
      <c r="I53" s="100" t="str">
        <f t="shared" si="0"/>
        <v>('Конфи из утки','dish',13000000000,50,1),</v>
      </c>
      <c r="J53" s="101" t="str">
        <f t="shared" si="1"/>
        <v>('Конфи из утки','dish','mPc',251),</v>
      </c>
    </row>
    <row r="54" spans="1:10" ht="17" x14ac:dyDescent="0.2">
      <c r="A54" s="84" t="s">
        <v>58</v>
      </c>
      <c r="B54" s="88" t="s">
        <v>93</v>
      </c>
      <c r="C54" s="86">
        <v>20000000000</v>
      </c>
      <c r="D54" s="69">
        <v>305</v>
      </c>
      <c r="E54" s="70" t="s">
        <v>7</v>
      </c>
      <c r="F54" s="71">
        <v>1</v>
      </c>
      <c r="G54" s="72">
        <v>50</v>
      </c>
      <c r="I54" s="100" t="str">
        <f t="shared" si="0"/>
        <v>('Бургер с трюфелем','dish',20000000000,50,1),</v>
      </c>
      <c r="J54" s="101" t="str">
        <f t="shared" si="1"/>
        <v>('Бургер с трюфелем','dish','mPc',305),</v>
      </c>
    </row>
    <row r="55" spans="1:10" ht="17" x14ac:dyDescent="0.2">
      <c r="A55" s="84" t="s">
        <v>59</v>
      </c>
      <c r="B55" s="88" t="s">
        <v>93</v>
      </c>
      <c r="C55" s="86">
        <v>32000000000</v>
      </c>
      <c r="D55" s="69">
        <v>371</v>
      </c>
      <c r="E55" s="70" t="s">
        <v>7</v>
      </c>
      <c r="F55" s="71">
        <v>1</v>
      </c>
      <c r="G55" s="72">
        <v>50</v>
      </c>
      <c r="I55" s="100" t="str">
        <f t="shared" si="0"/>
        <v>('Бабл-ти анчан','dish',32000000000,50,1),</v>
      </c>
      <c r="J55" s="101" t="str">
        <f t="shared" si="1"/>
        <v>('Бабл-ти анчан','dish','mPc',371),</v>
      </c>
    </row>
    <row r="56" spans="1:10" ht="17" x14ac:dyDescent="0.2">
      <c r="A56" s="84" t="s">
        <v>60</v>
      </c>
      <c r="B56" s="88" t="s">
        <v>93</v>
      </c>
      <c r="C56" s="86">
        <v>50000000000</v>
      </c>
      <c r="D56" s="69">
        <v>450</v>
      </c>
      <c r="E56" s="70" t="s">
        <v>7</v>
      </c>
      <c r="F56" s="71">
        <v>1</v>
      </c>
      <c r="G56" s="72">
        <v>50</v>
      </c>
      <c r="I56" s="100" t="str">
        <f t="shared" si="0"/>
        <v>('Фуа-гра сет','dish',50000000000,50,1),</v>
      </c>
      <c r="J56" s="101" t="str">
        <f t="shared" si="1"/>
        <v>('Фуа-гра сет','dish','mPc',450),</v>
      </c>
    </row>
    <row r="57" spans="1:10" ht="17" x14ac:dyDescent="0.2">
      <c r="A57" s="84" t="s">
        <v>61</v>
      </c>
      <c r="B57" s="88" t="s">
        <v>93</v>
      </c>
      <c r="C57" s="86">
        <v>80000000000</v>
      </c>
      <c r="D57" s="69">
        <v>547</v>
      </c>
      <c r="E57" s="70" t="s">
        <v>7</v>
      </c>
      <c r="F57" s="71">
        <v>1</v>
      </c>
      <c r="G57" s="72">
        <v>50</v>
      </c>
      <c r="I57" s="100" t="str">
        <f t="shared" si="0"/>
        <v>('Мишлен-фантазия','dish',80000000000,50,1),</v>
      </c>
      <c r="J57" s="101" t="str">
        <f t="shared" si="1"/>
        <v>('Мишлен-фантазия','dish','mPc',547),</v>
      </c>
    </row>
    <row r="58" spans="1:10" ht="17" x14ac:dyDescent="0.2">
      <c r="A58" s="84" t="s">
        <v>62</v>
      </c>
      <c r="B58" s="88" t="s">
        <v>93</v>
      </c>
      <c r="C58" s="86">
        <v>125000000000</v>
      </c>
      <c r="D58" s="69">
        <v>666</v>
      </c>
      <c r="E58" s="70" t="s">
        <v>7</v>
      </c>
      <c r="F58" s="71">
        <v>1</v>
      </c>
      <c r="G58" s="72">
        <v>55</v>
      </c>
      <c r="I58" s="100" t="str">
        <f t="shared" si="0"/>
        <v>('Морская сет','dish',125000000000,55,1),</v>
      </c>
      <c r="J58" s="101" t="str">
        <f t="shared" si="1"/>
        <v>('Морская сет','dish','mPc',666),</v>
      </c>
    </row>
    <row r="59" spans="1:10" ht="17" x14ac:dyDescent="0.2">
      <c r="A59" s="84" t="s">
        <v>63</v>
      </c>
      <c r="B59" s="88" t="s">
        <v>93</v>
      </c>
      <c r="C59" s="86">
        <v>200000000000</v>
      </c>
      <c r="D59" s="69">
        <v>812</v>
      </c>
      <c r="E59" s="70" t="s">
        <v>7</v>
      </c>
      <c r="F59" s="71">
        <v>1</v>
      </c>
      <c r="G59" s="72">
        <v>60</v>
      </c>
      <c r="I59" s="100" t="str">
        <f t="shared" si="0"/>
        <v>('Матча латте','dish',200000000000,60,1),</v>
      </c>
      <c r="J59" s="101" t="str">
        <f t="shared" si="1"/>
        <v>('Матча латте','dish','mPc',812),</v>
      </c>
    </row>
    <row r="60" spans="1:10" ht="17" x14ac:dyDescent="0.2">
      <c r="A60" s="84" t="s">
        <v>64</v>
      </c>
      <c r="B60" s="88" t="s">
        <v>93</v>
      </c>
      <c r="C60" s="86">
        <v>320000000000</v>
      </c>
      <c r="D60" s="69">
        <v>984</v>
      </c>
      <c r="E60" s="70" t="s">
        <v>7</v>
      </c>
      <c r="F60" s="71">
        <v>1</v>
      </c>
      <c r="G60" s="72">
        <v>60</v>
      </c>
      <c r="I60" s="100" t="str">
        <f t="shared" si="0"/>
        <v>('Супрем-блюдо','dish',320000000000,60,1),</v>
      </c>
      <c r="J60" s="101" t="str">
        <f t="shared" si="1"/>
        <v>('Супрем-блюдо','dish','mPc',984),</v>
      </c>
    </row>
    <row r="61" spans="1:10" ht="17" x14ac:dyDescent="0.2">
      <c r="A61" s="84" t="s">
        <v>65</v>
      </c>
      <c r="B61" s="88" t="s">
        <v>93</v>
      </c>
      <c r="C61" s="86">
        <v>520000000000</v>
      </c>
      <c r="D61" s="69">
        <v>1192</v>
      </c>
      <c r="E61" s="70" t="s">
        <v>7</v>
      </c>
      <c r="F61" s="71">
        <v>1</v>
      </c>
      <c r="G61" s="72">
        <v>60</v>
      </c>
      <c r="I61" s="100" t="str">
        <f t="shared" si="0"/>
        <v>('Десертный сет','dish',520000000000,60,1),</v>
      </c>
      <c r="J61" s="101" t="str">
        <f t="shared" si="1"/>
        <v>('Десертный сет','dish','mPc',1192),</v>
      </c>
    </row>
    <row r="62" spans="1:10" ht="18" thickBot="1" x14ac:dyDescent="0.25">
      <c r="A62" s="73" t="s">
        <v>66</v>
      </c>
      <c r="B62" s="87" t="s">
        <v>93</v>
      </c>
      <c r="C62" s="74">
        <v>900000000000</v>
      </c>
      <c r="D62" s="75">
        <v>1455</v>
      </c>
      <c r="E62" s="76" t="s">
        <v>7</v>
      </c>
      <c r="F62" s="77">
        <v>1</v>
      </c>
      <c r="G62" s="78">
        <v>65</v>
      </c>
      <c r="I62" s="100" t="str">
        <f t="shared" si="0"/>
        <v>('Панна-котта','dish',900000000000,65,1),</v>
      </c>
      <c r="J62" s="101" t="str">
        <f t="shared" si="1"/>
        <v>('Панна-котта','dish','mPc',1455),</v>
      </c>
    </row>
    <row r="63" spans="1:10" ht="17" x14ac:dyDescent="0.2">
      <c r="A63" s="47" t="s">
        <v>67</v>
      </c>
      <c r="B63" s="90" t="s">
        <v>94</v>
      </c>
      <c r="C63" s="48">
        <v>250</v>
      </c>
      <c r="D63" s="49">
        <v>1</v>
      </c>
      <c r="E63" s="50" t="s">
        <v>68</v>
      </c>
      <c r="F63" s="51">
        <v>3.2</v>
      </c>
      <c r="G63" s="52">
        <v>1</v>
      </c>
      <c r="I63" s="100" t="str">
        <f t="shared" si="0"/>
        <v>('Новая плита','equipment',250,1,3.2),</v>
      </c>
      <c r="J63" s="101" t="str">
        <f t="shared" si="1"/>
        <v>('Новая плита','equipment','dPc',1),</v>
      </c>
    </row>
    <row r="64" spans="1:10" ht="17" x14ac:dyDescent="0.2">
      <c r="A64" s="53" t="s">
        <v>69</v>
      </c>
      <c r="B64" s="91" t="s">
        <v>94</v>
      </c>
      <c r="C64" s="54">
        <v>800</v>
      </c>
      <c r="D64" s="55">
        <v>2</v>
      </c>
      <c r="E64" s="56" t="s">
        <v>68</v>
      </c>
      <c r="F64" s="57">
        <v>3.5</v>
      </c>
      <c r="G64" s="58">
        <v>3</v>
      </c>
      <c r="I64" s="100" t="str">
        <f t="shared" si="0"/>
        <v>('Газовая горелка','equipment',800,3,3.5),</v>
      </c>
      <c r="J64" s="101" t="str">
        <f t="shared" si="1"/>
        <v>('Газовая горелка','equipment','dPc',2),</v>
      </c>
    </row>
    <row r="65" spans="1:10" ht="17" x14ac:dyDescent="0.2">
      <c r="A65" s="53" t="s">
        <v>70</v>
      </c>
      <c r="B65" s="91" t="s">
        <v>94</v>
      </c>
      <c r="C65" s="54">
        <v>1500</v>
      </c>
      <c r="D65" s="55">
        <v>2</v>
      </c>
      <c r="E65" s="56" t="s">
        <v>71</v>
      </c>
      <c r="F65" s="57">
        <v>3</v>
      </c>
      <c r="G65" s="58">
        <v>5</v>
      </c>
      <c r="I65" s="100" t="str">
        <f t="shared" si="0"/>
        <v>('Доп. касса','equipment',1500,5,3),</v>
      </c>
      <c r="J65" s="101" t="str">
        <f t="shared" si="1"/>
        <v>('Доп. касса','equipment','sPs',2),</v>
      </c>
    </row>
    <row r="66" spans="1:10" ht="17" x14ac:dyDescent="0.2">
      <c r="A66" s="53" t="s">
        <v>72</v>
      </c>
      <c r="B66" s="91" t="s">
        <v>94</v>
      </c>
      <c r="C66" s="54">
        <v>4000</v>
      </c>
      <c r="D66" s="55">
        <v>1</v>
      </c>
      <c r="E66" s="56" t="s">
        <v>73</v>
      </c>
      <c r="F66" s="57">
        <v>4</v>
      </c>
      <c r="G66" s="58">
        <v>5</v>
      </c>
      <c r="I66" s="100" t="str">
        <f t="shared" si="0"/>
        <v>('Проф. духовка','equipment',4000,5,4),</v>
      </c>
      <c r="J66" s="101" t="str">
        <f t="shared" si="1"/>
        <v>('Проф. духовка','equipment','dPs',1),</v>
      </c>
    </row>
    <row r="67" spans="1:10" ht="17" x14ac:dyDescent="0.2">
      <c r="A67" s="53" t="s">
        <v>74</v>
      </c>
      <c r="B67" s="91" t="s">
        <v>94</v>
      </c>
      <c r="C67" s="54">
        <v>15000</v>
      </c>
      <c r="D67" s="55">
        <v>1</v>
      </c>
      <c r="E67" s="56" t="s">
        <v>75</v>
      </c>
      <c r="F67" s="57">
        <v>3.3</v>
      </c>
      <c r="G67" s="58">
        <v>7</v>
      </c>
      <c r="I67" s="100" t="str">
        <f t="shared" si="0"/>
        <v>('Умная касса','equipment',15000,7,3.3),</v>
      </c>
      <c r="J67" s="101" t="str">
        <f t="shared" si="1"/>
        <v>('Умная касса','equipment','mPs',1),</v>
      </c>
    </row>
    <row r="68" spans="1:10" ht="18" thickBot="1" x14ac:dyDescent="0.25">
      <c r="A68" s="59" t="s">
        <v>76</v>
      </c>
      <c r="B68" s="91" t="s">
        <v>94</v>
      </c>
      <c r="C68" s="60">
        <v>500000</v>
      </c>
      <c r="D68" s="61">
        <v>2</v>
      </c>
      <c r="E68" s="62" t="s">
        <v>77</v>
      </c>
      <c r="F68" s="63">
        <v>2.8</v>
      </c>
      <c r="G68" s="64">
        <v>20</v>
      </c>
      <c r="I68" s="100" t="str">
        <f t="shared" ref="I68:I79" si="2">"('" &amp; A68 &amp; "','" &amp; B68 &amp; "'," &amp; C68 &amp; "," &amp; G68 &amp; "," &amp; SUBSTITUTE(F68,",",".") &amp; "),"</f>
        <v>('Современный гриль','equipment',500000,20,2.8),</v>
      </c>
      <c r="J68" s="101" t="str">
        <f t="shared" ref="J68:J79" si="3">"('" &amp; A68 &amp; "','" &amp; B68 &amp; "','" &amp; E68 &amp; "'," &amp; SUBSTITUTE(D68,",",".") &amp; "),"</f>
        <v>('Современный гриль','equipment','dM',2),</v>
      </c>
    </row>
    <row r="69" spans="1:10" ht="17" x14ac:dyDescent="0.2">
      <c r="A69" s="33" t="s">
        <v>78</v>
      </c>
      <c r="B69" s="92" t="s">
        <v>95</v>
      </c>
      <c r="C69" s="34">
        <v>15000</v>
      </c>
      <c r="D69" s="35">
        <v>2</v>
      </c>
      <c r="E69" s="36" t="s">
        <v>77</v>
      </c>
      <c r="F69" s="37">
        <v>3.5</v>
      </c>
      <c r="G69" s="104">
        <v>10</v>
      </c>
      <c r="I69" s="100" t="str">
        <f t="shared" si="2"/>
        <v>('Реклама блюд','global',15000,10,3.5),</v>
      </c>
      <c r="J69" s="101" t="str">
        <f t="shared" si="3"/>
        <v>('Реклама блюд','global','dM',2),</v>
      </c>
    </row>
    <row r="70" spans="1:10" ht="17" x14ac:dyDescent="0.2">
      <c r="A70" s="38" t="s">
        <v>81</v>
      </c>
      <c r="B70" s="93" t="s">
        <v>95</v>
      </c>
      <c r="C70" s="39">
        <v>50000</v>
      </c>
      <c r="D70" s="40">
        <v>1.5</v>
      </c>
      <c r="E70" s="41" t="s">
        <v>84</v>
      </c>
      <c r="F70" s="42">
        <v>3</v>
      </c>
      <c r="G70" s="105">
        <v>15</v>
      </c>
      <c r="I70" s="100" t="str">
        <f t="shared" si="2"/>
        <v>('Повышение цен','global',50000,15,3),</v>
      </c>
      <c r="J70" s="101" t="str">
        <f t="shared" si="3"/>
        <v>('Повышение цен','global','mM',1.5),</v>
      </c>
    </row>
    <row r="71" spans="1:10" ht="17" x14ac:dyDescent="0.2">
      <c r="A71" s="38" t="s">
        <v>79</v>
      </c>
      <c r="B71" s="93" t="s">
        <v>95</v>
      </c>
      <c r="C71" s="39">
        <v>250000</v>
      </c>
      <c r="D71" s="40">
        <v>10</v>
      </c>
      <c r="E71" s="41" t="s">
        <v>71</v>
      </c>
      <c r="F71" s="42">
        <v>3</v>
      </c>
      <c r="G71" s="105">
        <v>20</v>
      </c>
      <c r="I71" s="100" t="str">
        <f t="shared" si="2"/>
        <v>('Качество персонала','global',250000,20,3),</v>
      </c>
      <c r="J71" s="101" t="str">
        <f t="shared" si="3"/>
        <v>('Качество персонала','global','sPs',10),</v>
      </c>
    </row>
    <row r="72" spans="1:10" ht="17" x14ac:dyDescent="0.2">
      <c r="A72" s="38" t="s">
        <v>82</v>
      </c>
      <c r="B72" s="93" t="s">
        <v>95</v>
      </c>
      <c r="C72" s="39">
        <v>5000000</v>
      </c>
      <c r="D72" s="40">
        <v>2</v>
      </c>
      <c r="E72" s="41" t="s">
        <v>85</v>
      </c>
      <c r="F72" s="42">
        <v>2.4</v>
      </c>
      <c r="G72" s="105">
        <v>30</v>
      </c>
      <c r="I72" s="100" t="str">
        <f t="shared" si="2"/>
        <v>('Авто-продажи','global',5000000,30,2.4),</v>
      </c>
      <c r="J72" s="101" t="str">
        <f t="shared" si="3"/>
        <v>('Авто-продажи','global','mpM',2),</v>
      </c>
    </row>
    <row r="73" spans="1:10" ht="17" x14ac:dyDescent="0.2">
      <c r="A73" s="38" t="s">
        <v>83</v>
      </c>
      <c r="B73" s="93" t="s">
        <v>95</v>
      </c>
      <c r="C73" s="39">
        <v>20000000</v>
      </c>
      <c r="D73" s="40">
        <v>5</v>
      </c>
      <c r="E73" s="41" t="s">
        <v>85</v>
      </c>
      <c r="F73" s="42">
        <v>2.8</v>
      </c>
      <c r="G73" s="105">
        <v>40</v>
      </c>
      <c r="I73" s="100" t="str">
        <f t="shared" si="2"/>
        <v>('Экспресс-доставка','global',20000000,40,2.8),</v>
      </c>
      <c r="J73" s="101" t="str">
        <f t="shared" si="3"/>
        <v>('Экспресс-доставка','global','mpM',5),</v>
      </c>
    </row>
    <row r="74" spans="1:10" ht="18" thickBot="1" x14ac:dyDescent="0.25">
      <c r="A74" s="43" t="s">
        <v>80</v>
      </c>
      <c r="B74" s="93" t="s">
        <v>95</v>
      </c>
      <c r="C74" s="79">
        <v>50000000</v>
      </c>
      <c r="D74" s="44">
        <v>100</v>
      </c>
      <c r="E74" s="45" t="s">
        <v>71</v>
      </c>
      <c r="F74" s="46">
        <v>2</v>
      </c>
      <c r="G74" s="106">
        <v>40</v>
      </c>
      <c r="I74" s="100" t="str">
        <f t="shared" si="2"/>
        <v>('Быстрый расчет','global',50000000,40,2),</v>
      </c>
      <c r="J74" s="101" t="str">
        <f t="shared" si="3"/>
        <v>('Быстрый расчет','global','sPs',100),</v>
      </c>
    </row>
    <row r="75" spans="1:10" ht="17" x14ac:dyDescent="0.2">
      <c r="A75" s="30" t="s">
        <v>86</v>
      </c>
      <c r="B75" s="94" t="s">
        <v>96</v>
      </c>
      <c r="C75" s="31">
        <v>200000</v>
      </c>
      <c r="D75" s="6">
        <v>10</v>
      </c>
      <c r="E75" s="7" t="s">
        <v>75</v>
      </c>
      <c r="F75" s="8">
        <v>2.2999999999999998</v>
      </c>
      <c r="G75" s="9">
        <v>20</v>
      </c>
      <c r="I75" s="100" t="str">
        <f t="shared" si="2"/>
        <v>('Официант','staff',200000,20,2.3),</v>
      </c>
      <c r="J75" s="101" t="str">
        <f t="shared" si="3"/>
        <v>('Официант','staff','mPs',10),</v>
      </c>
    </row>
    <row r="76" spans="1:10" ht="18" thickBot="1" x14ac:dyDescent="0.25">
      <c r="A76" s="10" t="s">
        <v>87</v>
      </c>
      <c r="B76" s="95" t="s">
        <v>96</v>
      </c>
      <c r="C76" s="32">
        <v>150000</v>
      </c>
      <c r="D76" s="11">
        <v>10</v>
      </c>
      <c r="E76" s="12" t="s">
        <v>73</v>
      </c>
      <c r="F76" s="13">
        <v>2.2999999999999998</v>
      </c>
      <c r="G76" s="14">
        <v>20</v>
      </c>
      <c r="I76" s="100" t="str">
        <f t="shared" si="2"/>
        <v>('Шеф-повар','staff',150000,20,2.3),</v>
      </c>
      <c r="J76" s="101" t="str">
        <f t="shared" si="3"/>
        <v>('Шеф-повар','staff','dPs',10),</v>
      </c>
    </row>
    <row r="77" spans="1:10" ht="17" x14ac:dyDescent="0.2">
      <c r="A77" s="15" t="s">
        <v>88</v>
      </c>
      <c r="B77" s="96" t="s">
        <v>97</v>
      </c>
      <c r="C77" s="80">
        <v>100000000000</v>
      </c>
      <c r="D77" s="16">
        <v>500</v>
      </c>
      <c r="E77" s="17" t="s">
        <v>75</v>
      </c>
      <c r="F77" s="18">
        <v>2.2000000000000002</v>
      </c>
      <c r="G77" s="19">
        <v>70</v>
      </c>
      <c r="I77" s="100" t="str">
        <f t="shared" si="2"/>
        <v>('Фудтрак','point',100000000000,70,2.2),</v>
      </c>
      <c r="J77" s="101" t="str">
        <f t="shared" si="3"/>
        <v>('Фудтрак','point','mPs',500),</v>
      </c>
    </row>
    <row r="78" spans="1:10" ht="17" x14ac:dyDescent="0.2">
      <c r="A78" s="20" t="s">
        <v>89</v>
      </c>
      <c r="B78" s="97" t="s">
        <v>97</v>
      </c>
      <c r="C78" s="81">
        <v>150000000000</v>
      </c>
      <c r="D78" s="21">
        <v>1500</v>
      </c>
      <c r="E78" s="22" t="s">
        <v>75</v>
      </c>
      <c r="F78" s="23">
        <v>2.2000000000000002</v>
      </c>
      <c r="G78" s="24">
        <v>75</v>
      </c>
      <c r="I78" s="100" t="str">
        <f t="shared" si="2"/>
        <v>('Маленькое кафе','point',150000000000,75,2.2),</v>
      </c>
      <c r="J78" s="101" t="str">
        <f t="shared" si="3"/>
        <v>('Маленькое кафе','point','mPs',1500),</v>
      </c>
    </row>
    <row r="79" spans="1:10" ht="17" x14ac:dyDescent="0.2">
      <c r="A79" s="20" t="s">
        <v>90</v>
      </c>
      <c r="B79" s="97" t="s">
        <v>97</v>
      </c>
      <c r="C79" s="81">
        <v>500000000000</v>
      </c>
      <c r="D79" s="21">
        <v>5000</v>
      </c>
      <c r="E79" s="22" t="s">
        <v>75</v>
      </c>
      <c r="F79" s="23">
        <v>2.2999999999999998</v>
      </c>
      <c r="G79" s="24">
        <v>80</v>
      </c>
      <c r="I79" s="100" t="str">
        <f t="shared" si="2"/>
        <v>('Ресторан','point',500000000000,80,2.3),</v>
      </c>
      <c r="J79" s="101" t="str">
        <f t="shared" si="3"/>
        <v>('Ресторан','point','mPs',5000),</v>
      </c>
    </row>
    <row r="80" spans="1:10" ht="18" thickBot="1" x14ac:dyDescent="0.25">
      <c r="A80" s="25" t="s">
        <v>91</v>
      </c>
      <c r="B80" s="98" t="s">
        <v>97</v>
      </c>
      <c r="C80" s="82">
        <v>1500000000000</v>
      </c>
      <c r="D80" s="26">
        <v>15000</v>
      </c>
      <c r="E80" s="27" t="s">
        <v>75</v>
      </c>
      <c r="F80" s="28">
        <v>2.4</v>
      </c>
      <c r="G80" s="29">
        <v>90</v>
      </c>
      <c r="I80" s="100" t="str">
        <f>"('" &amp; A80 &amp; "','" &amp; B80 &amp; "'," &amp; C80 &amp; "," &amp; G80 &amp; "," &amp; SUBSTITUTE(F80,",",".") &amp; ")"</f>
        <v>('Гастро-ресторан','point',1500000000000,90,2.4)</v>
      </c>
      <c r="J80" s="101" t="str">
        <f>"('" &amp; A80 &amp; "','" &amp; B80 &amp; "','" &amp; E80 &amp; "'," &amp; SUBSTITUTE(D80,",",".") &amp; ")"</f>
        <v>('Гастро-ресторан','point','mPs',15000)</v>
      </c>
    </row>
  </sheetData>
  <dataConsolidate/>
  <mergeCells count="8">
    <mergeCell ref="F1:F2"/>
    <mergeCell ref="G1:G2"/>
    <mergeCell ref="I1:J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Игорь Туртыгин</dc:creator>
  <cp:lastModifiedBy>Игорь Туртыгин</cp:lastModifiedBy>
  <dcterms:created xsi:type="dcterms:W3CDTF">2025-12-16T22:37:10Z</dcterms:created>
  <dcterms:modified xsi:type="dcterms:W3CDTF">2025-12-18T14:13:50Z</dcterms:modified>
</cp:coreProperties>
</file>